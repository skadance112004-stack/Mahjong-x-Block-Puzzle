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Level Income (Nguồn)" state="visible" r:id="rId4"/>
    <sheet sheetId="2" name="2. Daily Quest (Nguồn)" state="visible" r:id="rId5"/>
    <sheet sheetId="3" name="3. Check-in 30 ngày (Nguồn)" state="visible" r:id="rId6"/>
    <sheet sheetId="4" name="4. Shop (Sink)" state="visible" r:id="rId7"/>
    <sheet sheetId="5" name="5. Booster (tài nguyên riêng)" state="visible" r:id="rId8"/>
    <sheet sheetId="6" name="6. Tổng hợp &amp; Cân bằng" state="visible" r:id="rId9"/>
  </sheets>
  <calcPr calcId="171027"/>
</workbook>
</file>

<file path=xl/sharedStrings.xml><?xml version="1.0" encoding="utf-8"?>
<sst xmlns="http://schemas.openxmlformats.org/spreadsheetml/2006/main" count="259" uniqueCount="181">
  <si>
    <t>Toàn bộ Xu kiếm được khi thắng 1 màn lần đầu (computeWinCoins() trong Final Core/index.html). Cột vàng = số liệu thật lấy từ P24M_LEVELS; cột trắng = công thức, tự tính lại khi bạn sửa cột vàng hoặc hằng số ở Sheet 6.</t>
  </si>
  <si>
    <t>Màn</t>
  </si>
  <si>
    <t>Tên màn (nội bộ)</t>
  </si>
  <si>
    <t>Giới hạn lượt (moveLimit)</t>
  </si>
  <si>
    <t>Số lượt lời giải tối ưu</t>
  </si>
  <si>
    <t>Xu sàn (floor)</t>
  </si>
  <si>
    <t>Thưởng lượt dư (best-case)</t>
  </si>
  <si>
    <t>Thưởng không dùng Booster</t>
  </si>
  <si>
    <t>Hệ số Chapter-finale (x2 ở màn chia hết 10)</t>
  </si>
  <si>
    <t>Tổng WORST-CASE</t>
  </si>
  <si>
    <t>Tổng BEST-CASE</t>
  </si>
  <si>
    <t>Cộng dồn Worst</t>
  </si>
  <si>
    <t>Cộng dồn Best</t>
  </si>
  <si>
    <t>A Single Spot</t>
  </si>
  <si>
    <t>Current and Next</t>
  </si>
  <si>
    <t>Every Cell Falls On Its Own</t>
  </si>
  <si>
    <t>Same Face, Different Floor</t>
  </si>
  <si>
    <t>Roof Opens the Floor</t>
  </si>
  <si>
    <t>The Fourth Face</t>
  </si>
  <si>
    <t>Pick The Target Face</t>
  </si>
  <si>
    <t>One Triomino, Two Heights</t>
  </si>
  <si>
    <t>Two Match Stations</t>
  </si>
  <si>
    <t>Core Review</t>
  </si>
  <si>
    <t>Break The First Seal</t>
  </si>
  <si>
    <t>Two Different Faces</t>
  </si>
  <si>
    <t>Use The Freed Cell</t>
  </si>
  <si>
    <t>One Meter, Many Cells</t>
  </si>
  <si>
    <t>A Breather</t>
  </si>
  <si>
    <t>The Fifth Face</t>
  </si>
  <si>
    <t>Two Routes to Progress</t>
  </si>
  <si>
    <t>Three Faces Unlocked</t>
  </si>
  <si>
    <t>Buried Under Seal</t>
  </si>
  <si>
    <t>Twin Stations</t>
  </si>
  <si>
    <t>First Blocker</t>
  </si>
  <si>
    <t>Two-Cell Notch</t>
  </si>
  <si>
    <t>Topology Fit</t>
  </si>
  <si>
    <t>Detour Wall</t>
  </si>
  <si>
    <t>Fork Around</t>
  </si>
  <si>
    <t>Seal Behind Stone</t>
  </si>
  <si>
    <t>Open Route</t>
  </si>
  <si>
    <t>Sixth Face</t>
  </si>
  <si>
    <t>Three Faces, Two Stations</t>
  </si>
  <si>
    <t>Chapter Final Exam</t>
  </si>
  <si>
    <t>Seal and Stone</t>
  </si>
  <si>
    <t>Two Under One</t>
  </si>
  <si>
    <t>Either Way Works</t>
  </si>
  <si>
    <t>Three Keys</t>
  </si>
  <si>
    <t>Permanent Detour</t>
  </si>
  <si>
    <t>Roof Chain</t>
  </si>
  <si>
    <t>Three Distinct</t>
  </si>
  <si>
    <t>Buried Behind Seal</t>
  </si>
  <si>
    <t>Stretch</t>
  </si>
  <si>
    <t>Chapter 4 Review</t>
  </si>
  <si>
    <t>Mastery Begins</t>
  </si>
  <si>
    <t>Squeezed</t>
  </si>
  <si>
    <t>Triple Seal</t>
  </si>
  <si>
    <t>The Long Wall</t>
  </si>
  <si>
    <t>Buried Twice</t>
  </si>
  <si>
    <t>One Shot</t>
  </si>
  <si>
    <t>Six Faces</t>
  </si>
  <si>
    <t>Two Seals</t>
  </si>
  <si>
    <t>Penultimate</t>
  </si>
  <si>
    <t>Grand Finale</t>
  </si>
  <si>
    <t>Mỗi ngày chọn CỐ ĐỊNH 3/6 dòng dưới (pickDailyQuests(), xác định theo ngày). Sửa cột vàng để thử cân bằng lại.</t>
  </si>
  <si>
    <t>ID</t>
  </si>
  <si>
    <t>Nhiệm vụ</t>
  </si>
  <si>
    <t>Mốc (target)</t>
  </si>
  <si>
    <t>Thưởng Xu</t>
  </si>
  <si>
    <t>Thưởng Đổi khối</t>
  </si>
  <si>
    <t>Thưởng Hint</t>
  </si>
  <si>
    <t>win1</t>
  </si>
  <si>
    <t>Thắng 1 màn hôm nay</t>
  </si>
  <si>
    <t>pairs6</t>
  </si>
  <si>
    <t>Ghép đủ 6 cặp (cộng dồn trong ngày)</t>
  </si>
  <si>
    <t>booster1</t>
  </si>
  <si>
    <t>Dùng 1 lượt Đổi khối hoặc Hint</t>
  </si>
  <si>
    <t>seal1</t>
  </si>
  <si>
    <t>Phá 1 Phong Ấn</t>
  </si>
  <si>
    <t>noboost1</t>
  </si>
  <si>
    <t>Thắng 1 màn không dùng Booster</t>
  </si>
  <si>
    <t>chain2</t>
  </si>
  <si>
    <t>Tạo chuỗi dây chuyền ≥2 wave</t>
  </si>
  <si>
    <t/>
  </si>
  <si>
    <t>Trung bình / 1 nhiệm vụ (6 dòng trên)</t>
  </si>
  <si>
    <t>Ước tính Xu/ngày (3 nhiệm vụ/ngày, claim hết)</t>
  </si>
  <si>
    <t>Mốc thưởng THÊM khi hoàn thành nhiều nhiệm vụ trong 1 ngày (QUEST_MILESTONES) — tách biệt với thưởng riêng từng nhiệm vụ ở trên:</t>
  </si>
  <si>
    <t>Số nhiệm vụ xong</t>
  </si>
  <si>
    <t>Tổng nếu xong cả 3 nhiệm vụ trong ngày</t>
  </si>
  <si>
    <t>CỘNG DỒN, không phải streak mất trắng khi lỡ ngày (canClaimCheckin()/claimCheckin()). Mỗi ngày thắng ≥1 màn mở khoá đúng 1 ô kế tiếp. Sửa cột vàng để thử bảng thưởng khác.</t>
  </si>
  <si>
    <t>Ngày</t>
  </si>
  <si>
    <t>Là mốc lớn? (10/20/30)</t>
  </si>
  <si>
    <t>CÓ</t>
  </si>
  <si>
    <t>Tổng / 1 chu kỳ 30 ngày</t>
  </si>
  <si>
    <t>Trung bình / ngày</t>
  </si>
  <si>
    <t>Toàn bộ nơi tiêu Xu hiện có (TILE_SKINS/BOARD_SKINS/BOOSTER_PACK_PRICE). Không có sink nào khác (không IAP, không ads-để-mua) tại thời điểm này.</t>
  </si>
  <si>
    <t>Bộ Quân Bài (Tile Skin)</t>
  </si>
  <si>
    <t>Giá (Xu)</t>
  </si>
  <si>
    <t>Ngà nguyên bản</t>
  </si>
  <si>
    <t>Ngọc bích</t>
  </si>
  <si>
    <t>Mực đen</t>
  </si>
  <si>
    <t>Hổ phách</t>
  </si>
  <si>
    <t>Thập Nhị Chi</t>
  </si>
  <si>
    <t>Muông Thú</t>
  </si>
  <si>
    <t>Tứ Quý Trái Cây</t>
  </si>
  <si>
    <t>Bài Tây</t>
  </si>
  <si>
    <t>Hoa Sen</t>
  </si>
  <si>
    <t>Biển Cả</t>
  </si>
  <si>
    <t>Trân Bảo</t>
  </si>
  <si>
    <t>Tứ Thời</t>
  </si>
  <si>
    <t>Tổng (không tính miễn phí)</t>
  </si>
  <si>
    <t>Bàn Cờ (Board Skin)</t>
  </si>
  <si>
    <t>Gỗ nguyên bản</t>
  </si>
  <si>
    <t>Tre trúc</t>
  </si>
  <si>
    <t>Đá xanh</t>
  </si>
  <si>
    <t>Ngọc Bích Hoàng Cung</t>
  </si>
  <si>
    <t>Sơn Mài Đỏ</t>
  </si>
  <si>
    <t>Giấy Hoa Tiên</t>
  </si>
  <si>
    <t>Sứ Men Lam</t>
  </si>
  <si>
    <t>Vườn Anh Đào</t>
  </si>
  <si>
    <t>Điện Rồng Vàng</t>
  </si>
  <si>
    <t>Ánh Trăng Đêm</t>
  </si>
  <si>
    <t>Trà Quán</t>
  </si>
  <si>
    <t>Booster Pack</t>
  </si>
  <si>
    <t>Giá trị</t>
  </si>
  <si>
    <t>Số lượt / gói (BOOSTER_PACK_SIZE)</t>
  </si>
  <si>
    <t>Giá / gói, Xu (BOOSTER_PACK_PRICE)</t>
  </si>
  <si>
    <t>Giá quy đổi / 1 lượt Booster</t>
  </si>
  <si>
    <t>TOÀN BỘ CATALOGUE (tile + board, không tính booster)</t>
  </si>
  <si>
    <t>Đổi khối/Hint là 1 kho lượt dùng chung, KHÔNG quy đổi thẳng ra Xu — liệt kê riêng vì đây cũng là 1 currency có nguồn/sink của nó.</t>
  </si>
  <si>
    <t>Nguồn / Sink</t>
  </si>
  <si>
    <t>Loại</t>
  </si>
  <si>
    <t>Đổi khối</t>
  </si>
  <si>
    <t>Hint</t>
  </si>
  <si>
    <t>Ghi chú</t>
  </si>
  <si>
    <t>Khởi tạo lần đầu chơi</t>
  </si>
  <si>
    <t>Nguồn (1 lần)</t>
  </si>
  <si>
    <t>getBoosterReroll()/getBoosterHint() default</t>
  </si>
  <si>
    <t>Quest "booster1" (nếu trúng ngày đó)</t>
  </si>
  <si>
    <t>Nguồn</t>
  </si>
  <si>
    <t>không claim mỗi ngày đều có, chỉ khi quest này được chọn</t>
  </si>
  <si>
    <t>Quest milestone (2 nhiệm vụ)</t>
  </si>
  <si>
    <t>Quest milestone (3 nhiệm vụ)</t>
  </si>
  <si>
    <t>Check-in mốc 5 ngày (5/15/25)</t>
  </si>
  <si>
    <t>x3 lần / chu kỳ 30 ngày</t>
  </si>
  <si>
    <t>Check-in mốc 10</t>
  </si>
  <si>
    <t>Check-in mốc 20</t>
  </si>
  <si>
    <t>Check-in mốc 30</t>
  </si>
  <si>
    <t>Mua ở Shop (BOOSTER_PACK)</t>
  </si>
  <si>
    <t>Nguồn (đổi từ Xu)</t>
  </si>
  <si>
    <t>100 Xu / lần mua, có thể mua vô hạn</t>
  </si>
  <si>
    <t>Dùng Đổi khối trong màn</t>
  </si>
  <si>
    <t>Sink</t>
  </si>
  <si>
    <t>p24kUseReroll()</t>
  </si>
  <si>
    <t>Dùng Hint trong màn</t>
  </si>
  <si>
    <t>p24kUseHint()</t>
  </si>
  <si>
    <t>Tổng free-inflow / 1 chu kỳ Check-in 30 ngày (không tính mua Shop, không tính quest "booster1" vì không trúng ngày nào cũng được)</t>
  </si>
  <si>
    <t>Mốc 5 ngày (5/15/25) nhân 3 vì lặp lại 3 lần/chu kỳ; các mốc 10/20/30 chỉ xảy ra 1 lần/chu kỳ</t>
  </si>
  <si>
    <t>Bảng tổng hợp — mọi ô công thức tham chiếu sang Sheet 1-5, đổi số ở các sheet đó thì bảng này tự cập nhật.</t>
  </si>
  <si>
    <t>Chỉ số</t>
  </si>
  <si>
    <t>Tổng Xu từ 50 màn — WORST CASE</t>
  </si>
  <si>
    <t>Không thưởng lượt dư, không thưởng giữ nguyên booster</t>
  </si>
  <si>
    <t>Tổng Xu từ 50 màn — BEST CASE</t>
  </si>
  <si>
    <t>Tối ưu lượt đi + không dùng Booster</t>
  </si>
  <si>
    <t>Xu/ngày ước tính từ Daily Quest (3 nhiệm vụ, không tính mốc)</t>
  </si>
  <si>
    <t>Xu/ngày trung bình từ Check-in</t>
  </si>
  <si>
    <t>Xu/ngày tổng từ 2 hệ Daily (không tính mốc quest)</t>
  </si>
  <si>
    <t>Xu/ngày tổng NẾU luôn xong mốc quest 3/3 (giả định lạc quan)</t>
  </si>
  <si>
    <t>Giả định: ngày nào cũng xong cả 3 nhiệm vụ. Cột D ở dòng "Tổng nếu xong cả 3" = 15+25+40 = 80</t>
  </si>
  <si>
    <t>Giá skin rẻ nhất (Ngọc bích)</t>
  </si>
  <si>
    <t>Số ngày cần (chỉ dùng Daily, không tính Xu từ màn) để mua skin rẻ nhất</t>
  </si>
  <si>
    <t>Tổng giá TOÀN BỘ catalogue (tile+board)</t>
  </si>
  <si>
    <t>Số ngày CHỈ DÙNG DAILY để mua hết catalogue</t>
  </si>
  <si>
    <t>≈ 393 ngày theo số liệu hiện tại — xem đề xuất #2</t>
  </si>
  <si>
    <t>So sánh: Best-case 50 màn có đủ mua skin rẻ nhất không?</t>
  </si>
  <si>
    <t>ĐỀ XUẤT PHƯƠNG PHÁP CÂN BẰNG</t>
  </si>
  <si>
    <t>1. Neo lại mốc giá theo THU NHẬP KẾT HỢP (level + Daily), không chỉ level: comment gốc ở TILE_SKINS neo "895 Xu = tới màn 30 worst-case" nhưng KHÔNG tính Daily — thực tế người chơi engaged đạt 895 Xu trong ~11 ngày Daily, bất kể đang ở màn nào. Cần quyết định rõ: có chủ ý muốn "engagement thắng progress" không?</t>
  </si>
  <si>
    <t>2. Daily hiện đóng góp quá lớn về dài hạn: 85.5 Xu/ngày × 365 ngày ≈ 31,200 Xu — gần bằng CẢ catalogue (33,590 Xu) chỉ từ đăng nhập hàng ngày, không cần chơi giỏi hay tiến xa. Nên thêm trần tuần/tháng cho Daily, hoặc chấp nhận đây là cơ chế retention có chủ đích (cần ghi rõ trong GDD, không để ngầm định).</t>
  </si>
  <si>
    <t>3. Khoảng cách kỹ năng (skill gap) giữa Worst/Best case ở Level Income là 52% (1725 vs 2624 sau 50 màn) nhưng Daily lại CÀO BẰNG (không phụ thuộc kỹ năng, chỉ cần thắng 1 màn/ngày) — đây là điểm CÂN BẰNG TỐT nên giữ, không phải lỗi: Daily bù đắp cho người chơi không giỏi/không rảnh chơi nhiều màn/ngày.</t>
  </si>
  <si>
    <t>4. Nguồn Booster miễn phí (Quest+Check-in) có thể vượt xa nhu cầu dùng thật: 1 chu kỳ Check-in 30 ngày cho ~19-22 Đổi khối/Hint miễn phí — nếu tốc độ TIÊU (mỗi màn khó thường dùng 0-2 lượt) thấp hơn tốc độ NHẬN, mục "Nâng Cấp" trong Shop (bán thêm Booster bằng Xu) có nguy cơ trở thành mục không ai cần mua. Cân nhắc: giảm booster free-inflow, HOẶC coi đây là mục phụ không quan trọng (không sao nếu Xu vẫn có chỗ tiêu ở tile/board skin).</t>
  </si>
  <si>
    <t>5. Daily Quest hết hạn cứng mỗi ngày (không làm kịp 3 nhiệm vụ hôm đó là mất luôn phần thưởng ngày đó) — hơi lệch với triết lý "không phạt" đã thấy ở Check-in (cộng dồn, không mất khi lỡ ngày) và ở thiết kế độ khó (level cho thắng sớm/chơi filler). Cân nhắc đổi Quest sang dạng "quỹ tuần" (vd 15 nhiệm vụ/tuần, làm ngày nào cũng được) để đồng nhất triết lý.</t>
  </si>
  <si>
    <t>6. Mốc "chia hết cho 10" đang dùng NHẤT QUÁN cho cả 3 hệ (Chapter-finale x2 ở màn 10/20/30/40/50, mốc quà lớn Check-in ở ngày 10/20/30) — đây là điểm mạnh, tạo cảm giác "10 = cột mốc" xuyên suốt game. Nên GIỮ khi cân bằng lại số, đừng đổi mốc lệch nhau giữa 3 hệ.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</si>
</sst>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i/>
      <color rgb="FF666666"/>
      <sz val="9"/>
    </font>
    <font>
      <b/>
      <color rgb="FFF7EEDC"/>
    </font>
    <font>
      <b/>
    </font>
    <font>
      <b/>
      <color rgb="FFA5731F"/>
    </font>
    <font>
      <b/>
      <sz val="12"/>
    </font>
    <font>
      <b/>
      <color rgb="FFA5731F"/>
      <sz val="13"/>
    </font>
  </fonts>
  <fills count="4">
    <fill>
      <patternFill patternType="none"/>
    </fill>
    <fill>
      <patternFill patternType="gray125"/>
    </fill>
    <fill>
      <patternFill patternType="solid">
        <fgColor rgb="FF2B190F"/>
      </patternFill>
    </fill>
    <fill>
      <patternFill patternType="solid">
        <fgColor rgb="FFFFF3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0" fillId="3" borderId="0" xfId="0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5" fillId="0" borderId="0" xfId="0" applyFont="1"/>
    <xf numFmtId="3" fontId="0" fillId="0" borderId="0" xfId="0" applyNumberFormat="1"/>
    <xf numFmtId="3" fontId="1" fillId="0" borderId="0" xfId="0" applyNumberFormat="1" applyFont="1"/>
    <xf numFmtId="3" fontId="2" fillId="2" borderId="0" xfId="0" applyNumberFormat="1" applyFont="1" applyFill="1" applyAlignment="1">
      <alignment vertical="center" wrapText="1"/>
    </xf>
    <xf numFmtId="0" fontId="6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4" width="12" customWidth="1"/>
    <col min="5" max="5" width="10" customWidth="1"/>
    <col min="6" max="12" width="12" customWidth="1"/>
  </cols>
  <sheetData>
    <row r="1" spans="1:1" s="1" customFormat="1" x14ac:dyDescent="0.25">
      <c r="A1" s="1" t="s">
        <v>0</v>
      </c>
    </row>
    <row r="3" ht="28" customHeight="1" spans="1:12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x14ac:dyDescent="0.25">
      <c r="A4">
        <v>1</v>
      </c>
      <c r="B4" t="s">
        <v>13</v>
      </c>
      <c r="C4" s="3">
        <v>4</v>
      </c>
      <c r="D4" s="3">
        <v>2</v>
      </c>
      <c r="E4">
        <f>ROUND(10*LN(A4+2),0)</f>
      </c>
      <c r="F4">
        <f>IF(AND(C4&lt;&gt;"",D4&lt;&gt;""),MAX(0,C4-D4)*2,0)</f>
      </c>
      <c r="G4" s="3">
        <v>15</v>
      </c>
      <c r="H4">
        <f>IF(MOD(A4,10)=0,2,1)</f>
      </c>
      <c r="I4">
        <f>E4*H4</f>
      </c>
      <c r="J4">
        <f>(E4+F4+G4)*H4</f>
      </c>
      <c r="K4">
        <f>I4</f>
      </c>
      <c r="L4">
        <f>J4</f>
      </c>
    </row>
    <row r="5" spans="1:12" x14ac:dyDescent="0.25">
      <c r="A5">
        <v>2</v>
      </c>
      <c r="B5" t="s">
        <v>14</v>
      </c>
      <c r="C5" s="3">
        <v>5</v>
      </c>
      <c r="D5" s="3">
        <v>3</v>
      </c>
      <c r="E5">
        <f>ROUND(10*LN(A5+2),0)</f>
      </c>
      <c r="F5">
        <f>IF(AND(C5&lt;&gt;"",D5&lt;&gt;""),MAX(0,C5-D5)*2,0)</f>
      </c>
      <c r="G5" s="3">
        <v>15</v>
      </c>
      <c r="H5">
        <f>IF(MOD(A5,10)=0,2,1)</f>
      </c>
      <c r="I5">
        <f>E5*H5</f>
      </c>
      <c r="J5">
        <f>(E5+F5+G5)*H5</f>
      </c>
      <c r="K5">
        <f>K4+I5</f>
      </c>
      <c r="L5">
        <f>L4+J5</f>
      </c>
    </row>
    <row r="6" spans="1:12" x14ac:dyDescent="0.25">
      <c r="A6">
        <v>3</v>
      </c>
      <c r="B6" t="s">
        <v>15</v>
      </c>
      <c r="C6" s="3">
        <v>4</v>
      </c>
      <c r="D6" s="3">
        <v>2</v>
      </c>
      <c r="E6">
        <f>ROUND(10*LN(A6+2),0)</f>
      </c>
      <c r="F6">
        <f>IF(AND(C6&lt;&gt;"",D6&lt;&gt;""),MAX(0,C6-D6)*2,0)</f>
      </c>
      <c r="G6" s="3">
        <v>15</v>
      </c>
      <c r="H6">
        <f>IF(MOD(A6,10)=0,2,1)</f>
      </c>
      <c r="I6">
        <f>E6*H6</f>
      </c>
      <c r="J6">
        <f>(E6+F6+G6)*H6</f>
      </c>
      <c r="K6">
        <f>K5+I6</f>
      </c>
      <c r="L6">
        <f>L5+J6</f>
      </c>
    </row>
    <row r="7" spans="1:12" x14ac:dyDescent="0.25">
      <c r="A7">
        <v>4</v>
      </c>
      <c r="B7" t="s">
        <v>16</v>
      </c>
      <c r="C7" s="3">
        <v>5</v>
      </c>
      <c r="D7" s="3">
        <v>3</v>
      </c>
      <c r="E7">
        <f>ROUND(10*LN(A7+2),0)</f>
      </c>
      <c r="F7">
        <f>IF(AND(C7&lt;&gt;"",D7&lt;&gt;""),MAX(0,C7-D7)*2,0)</f>
      </c>
      <c r="G7" s="3">
        <v>15</v>
      </c>
      <c r="H7">
        <f>IF(MOD(A7,10)=0,2,1)</f>
      </c>
      <c r="I7">
        <f>E7*H7</f>
      </c>
      <c r="J7">
        <f>(E7+F7+G7)*H7</f>
      </c>
      <c r="K7">
        <f>K6+I7</f>
      </c>
      <c r="L7">
        <f>L6+J7</f>
      </c>
    </row>
    <row r="8" spans="1:12" x14ac:dyDescent="0.25">
      <c r="A8">
        <v>5</v>
      </c>
      <c r="B8" t="s">
        <v>17</v>
      </c>
      <c r="C8" s="3">
        <v>5</v>
      </c>
      <c r="D8" s="3">
        <v>3</v>
      </c>
      <c r="E8">
        <f>ROUND(10*LN(A8+2),0)</f>
      </c>
      <c r="F8">
        <f>IF(AND(C8&lt;&gt;"",D8&lt;&gt;""),MAX(0,C8-D8)*2,0)</f>
      </c>
      <c r="G8" s="3">
        <v>15</v>
      </c>
      <c r="H8">
        <f>IF(MOD(A8,10)=0,2,1)</f>
      </c>
      <c r="I8">
        <f>E8*H8</f>
      </c>
      <c r="J8">
        <f>(E8+F8+G8)*H8</f>
      </c>
      <c r="K8">
        <f>K7+I8</f>
      </c>
      <c r="L8">
        <f>L7+J8</f>
      </c>
    </row>
    <row r="9" spans="1:12" x14ac:dyDescent="0.25">
      <c r="A9">
        <v>6</v>
      </c>
      <c r="B9" t="s">
        <v>18</v>
      </c>
      <c r="C9" s="3">
        <v>5</v>
      </c>
      <c r="D9" s="3">
        <v>3</v>
      </c>
      <c r="E9">
        <f>ROUND(10*LN(A9+2),0)</f>
      </c>
      <c r="F9">
        <f>IF(AND(C9&lt;&gt;"",D9&lt;&gt;""),MAX(0,C9-D9)*2,0)</f>
      </c>
      <c r="G9" s="3">
        <v>15</v>
      </c>
      <c r="H9">
        <f>IF(MOD(A9,10)=0,2,1)</f>
      </c>
      <c r="I9">
        <f>E9*H9</f>
      </c>
      <c r="J9">
        <f>(E9+F9+G9)*H9</f>
      </c>
      <c r="K9">
        <f>K8+I9</f>
      </c>
      <c r="L9">
        <f>L8+J9</f>
      </c>
    </row>
    <row r="10" spans="1:12" x14ac:dyDescent="0.25">
      <c r="A10">
        <v>7</v>
      </c>
      <c r="B10" t="s">
        <v>19</v>
      </c>
      <c r="C10" s="3">
        <v>5</v>
      </c>
      <c r="D10" s="3">
        <v>5</v>
      </c>
      <c r="E10">
        <f>ROUND(10*LN(A10+2),0)</f>
      </c>
      <c r="F10">
        <f>IF(AND(C10&lt;&gt;"",D10&lt;&gt;""),MAX(0,C10-D10)*2,0)</f>
      </c>
      <c r="G10" s="3">
        <v>15</v>
      </c>
      <c r="H10">
        <f>IF(MOD(A10,10)=0,2,1)</f>
      </c>
      <c r="I10">
        <f>E10*H10</f>
      </c>
      <c r="J10">
        <f>(E10+F10+G10)*H10</f>
      </c>
      <c r="K10">
        <f>K9+I10</f>
      </c>
      <c r="L10">
        <f>L9+J10</f>
      </c>
    </row>
    <row r="11" spans="1:12" x14ac:dyDescent="0.25">
      <c r="A11">
        <v>8</v>
      </c>
      <c r="B11" t="s">
        <v>20</v>
      </c>
      <c r="C11" s="3">
        <v>4</v>
      </c>
      <c r="D11" s="3">
        <v>2</v>
      </c>
      <c r="E11">
        <f>ROUND(10*LN(A11+2),0)</f>
      </c>
      <c r="F11">
        <f>IF(AND(C11&lt;&gt;"",D11&lt;&gt;""),MAX(0,C11-D11)*2,0)</f>
      </c>
      <c r="G11" s="3">
        <v>15</v>
      </c>
      <c r="H11">
        <f>IF(MOD(A11,10)=0,2,1)</f>
      </c>
      <c r="I11">
        <f>E11*H11</f>
      </c>
      <c r="J11">
        <f>(E11+F11+G11)*H11</f>
      </c>
      <c r="K11">
        <f>K10+I11</f>
      </c>
      <c r="L11">
        <f>L10+J11</f>
      </c>
    </row>
    <row r="12" spans="1:12" x14ac:dyDescent="0.25">
      <c r="A12">
        <v>9</v>
      </c>
      <c r="B12" t="s">
        <v>21</v>
      </c>
      <c r="C12" s="3">
        <v>4</v>
      </c>
      <c r="D12" s="3">
        <v>4</v>
      </c>
      <c r="E12">
        <f>ROUND(10*LN(A12+2),0)</f>
      </c>
      <c r="F12">
        <f>IF(AND(C12&lt;&gt;"",D12&lt;&gt;""),MAX(0,C12-D12)*2,0)</f>
      </c>
      <c r="G12" s="3">
        <v>15</v>
      </c>
      <c r="H12">
        <f>IF(MOD(A12,10)=0,2,1)</f>
      </c>
      <c r="I12">
        <f>E12*H12</f>
      </c>
      <c r="J12">
        <f>(E12+F12+G12)*H12</f>
      </c>
      <c r="K12">
        <f>K11+I12</f>
      </c>
      <c r="L12">
        <f>L11+J12</f>
      </c>
    </row>
    <row r="13" spans="1:12" x14ac:dyDescent="0.25">
      <c r="A13">
        <v>10</v>
      </c>
      <c r="B13" t="s">
        <v>22</v>
      </c>
      <c r="C13" s="3">
        <v>7</v>
      </c>
      <c r="D13" s="3">
        <v>5</v>
      </c>
      <c r="E13">
        <f>ROUND(10*LN(A13+2),0)</f>
      </c>
      <c r="F13">
        <f>IF(AND(C13&lt;&gt;"",D13&lt;&gt;""),MAX(0,C13-D13)*2,0)</f>
      </c>
      <c r="G13" s="3">
        <v>15</v>
      </c>
      <c r="H13">
        <f>IF(MOD(A13,10)=0,2,1)</f>
      </c>
      <c r="I13">
        <f>E13*H13</f>
      </c>
      <c r="J13">
        <f>(E13+F13+G13)*H13</f>
      </c>
      <c r="K13">
        <f>K12+I13</f>
      </c>
      <c r="L13">
        <f>L12+J13</f>
      </c>
    </row>
    <row r="14" spans="1:12" x14ac:dyDescent="0.25">
      <c r="A14">
        <v>11</v>
      </c>
      <c r="B14" t="s">
        <v>23</v>
      </c>
      <c r="C14" s="3">
        <v>3</v>
      </c>
      <c r="D14" s="3">
        <v>2</v>
      </c>
      <c r="E14">
        <f>ROUND(10*LN(A14+2),0)</f>
      </c>
      <c r="F14">
        <f>IF(AND(C14&lt;&gt;"",D14&lt;&gt;""),MAX(0,C14-D14)*2,0)</f>
      </c>
      <c r="G14" s="3">
        <v>15</v>
      </c>
      <c r="H14">
        <f>IF(MOD(A14,10)=0,2,1)</f>
      </c>
      <c r="I14">
        <f>E14*H14</f>
      </c>
      <c r="J14">
        <f>(E14+F14+G14)*H14</f>
      </c>
      <c r="K14">
        <f>K13+I14</f>
      </c>
      <c r="L14">
        <f>L13+J14</f>
      </c>
    </row>
    <row r="15" spans="1:12" x14ac:dyDescent="0.25">
      <c r="A15">
        <v>12</v>
      </c>
      <c r="B15" t="s">
        <v>24</v>
      </c>
      <c r="C15" s="3">
        <v>4</v>
      </c>
      <c r="D15" s="3">
        <v>3</v>
      </c>
      <c r="E15">
        <f>ROUND(10*LN(A15+2),0)</f>
      </c>
      <c r="F15">
        <f>IF(AND(C15&lt;&gt;"",D15&lt;&gt;""),MAX(0,C15-D15)*2,0)</f>
      </c>
      <c r="G15" s="3">
        <v>15</v>
      </c>
      <c r="H15">
        <f>IF(MOD(A15,10)=0,2,1)</f>
      </c>
      <c r="I15">
        <f>E15*H15</f>
      </c>
      <c r="J15">
        <f>(E15+F15+G15)*H15</f>
      </c>
      <c r="K15">
        <f>K14+I15</f>
      </c>
      <c r="L15">
        <f>L14+J15</f>
      </c>
    </row>
    <row r="16" spans="1:12" x14ac:dyDescent="0.25">
      <c r="A16">
        <v>13</v>
      </c>
      <c r="B16" t="s">
        <v>25</v>
      </c>
      <c r="C16" s="3">
        <v>5</v>
      </c>
      <c r="D16" s="3">
        <v>5</v>
      </c>
      <c r="E16">
        <f>ROUND(10*LN(A16+2),0)</f>
      </c>
      <c r="F16">
        <f>IF(AND(C16&lt;&gt;"",D16&lt;&gt;""),MAX(0,C16-D16)*2,0)</f>
      </c>
      <c r="G16" s="3">
        <v>15</v>
      </c>
      <c r="H16">
        <f>IF(MOD(A16,10)=0,2,1)</f>
      </c>
      <c r="I16">
        <f>E16*H16</f>
      </c>
      <c r="J16">
        <f>(E16+F16+G16)*H16</f>
      </c>
      <c r="K16">
        <f>K15+I16</f>
      </c>
      <c r="L16">
        <f>L15+J16</f>
      </c>
    </row>
    <row r="17" spans="1:12" x14ac:dyDescent="0.25">
      <c r="A17">
        <v>14</v>
      </c>
      <c r="B17" t="s">
        <v>26</v>
      </c>
      <c r="C17" s="3">
        <v>5</v>
      </c>
      <c r="D17" s="3">
        <v>4</v>
      </c>
      <c r="E17">
        <f>ROUND(10*LN(A17+2),0)</f>
      </c>
      <c r="F17">
        <f>IF(AND(C17&lt;&gt;"",D17&lt;&gt;""),MAX(0,C17-D17)*2,0)</f>
      </c>
      <c r="G17" s="3">
        <v>15</v>
      </c>
      <c r="H17">
        <f>IF(MOD(A17,10)=0,2,1)</f>
      </c>
      <c r="I17">
        <f>E17*H17</f>
      </c>
      <c r="J17">
        <f>(E17+F17+G17)*H17</f>
      </c>
      <c r="K17">
        <f>K16+I17</f>
      </c>
      <c r="L17">
        <f>L16+J17</f>
      </c>
    </row>
    <row r="18" spans="1:12" x14ac:dyDescent="0.25">
      <c r="A18">
        <v>15</v>
      </c>
      <c r="B18" t="s">
        <v>27</v>
      </c>
      <c r="C18" s="3">
        <v>4</v>
      </c>
      <c r="D18" s="3">
        <v>3</v>
      </c>
      <c r="E18">
        <f>ROUND(10*LN(A18+2),0)</f>
      </c>
      <c r="F18">
        <f>IF(AND(C18&lt;&gt;"",D18&lt;&gt;""),MAX(0,C18-D18)*2,0)</f>
      </c>
      <c r="G18" s="3">
        <v>15</v>
      </c>
      <c r="H18">
        <f>IF(MOD(A18,10)=0,2,1)</f>
      </c>
      <c r="I18">
        <f>E18*H18</f>
      </c>
      <c r="J18">
        <f>(E18+F18+G18)*H18</f>
      </c>
      <c r="K18">
        <f>K17+I18</f>
      </c>
      <c r="L18">
        <f>L17+J18</f>
      </c>
    </row>
    <row r="19" spans="1:12" x14ac:dyDescent="0.25">
      <c r="A19">
        <v>16</v>
      </c>
      <c r="B19" t="s">
        <v>28</v>
      </c>
      <c r="C19" s="3">
        <v>4</v>
      </c>
      <c r="D19" s="3">
        <v>3</v>
      </c>
      <c r="E19">
        <f>ROUND(10*LN(A19+2),0)</f>
      </c>
      <c r="F19">
        <f>IF(AND(C19&lt;&gt;"",D19&lt;&gt;""),MAX(0,C19-D19)*2,0)</f>
      </c>
      <c r="G19" s="3">
        <v>15</v>
      </c>
      <c r="H19">
        <f>IF(MOD(A19,10)=0,2,1)</f>
      </c>
      <c r="I19">
        <f>E19*H19</f>
      </c>
      <c r="J19">
        <f>(E19+F19+G19)*H19</f>
      </c>
      <c r="K19">
        <f>K18+I19</f>
      </c>
      <c r="L19">
        <f>L18+J19</f>
      </c>
    </row>
    <row r="20" spans="1:12" x14ac:dyDescent="0.25">
      <c r="A20">
        <v>17</v>
      </c>
      <c r="B20" t="s">
        <v>29</v>
      </c>
      <c r="C20" s="3">
        <v>5</v>
      </c>
      <c r="D20" s="3">
        <v>4</v>
      </c>
      <c r="E20">
        <f>ROUND(10*LN(A20+2),0)</f>
      </c>
      <c r="F20">
        <f>IF(AND(C20&lt;&gt;"",D20&lt;&gt;""),MAX(0,C20-D20)*2,0)</f>
      </c>
      <c r="G20" s="3">
        <v>15</v>
      </c>
      <c r="H20">
        <f>IF(MOD(A20,10)=0,2,1)</f>
      </c>
      <c r="I20">
        <f>E20*H20</f>
      </c>
      <c r="J20">
        <f>(E20+F20+G20)*H20</f>
      </c>
      <c r="K20">
        <f>K19+I20</f>
      </c>
      <c r="L20">
        <f>L19+J20</f>
      </c>
    </row>
    <row r="21" spans="1:12" x14ac:dyDescent="0.25">
      <c r="A21">
        <v>18</v>
      </c>
      <c r="B21" t="s">
        <v>30</v>
      </c>
      <c r="C21" s="3">
        <v>6</v>
      </c>
      <c r="D21" s="3">
        <v>6</v>
      </c>
      <c r="E21">
        <f>ROUND(10*LN(A21+2),0)</f>
      </c>
      <c r="F21">
        <f>IF(AND(C21&lt;&gt;"",D21&lt;&gt;""),MAX(0,C21-D21)*2,0)</f>
      </c>
      <c r="G21" s="3">
        <v>15</v>
      </c>
      <c r="H21">
        <f>IF(MOD(A21,10)=0,2,1)</f>
      </c>
      <c r="I21">
        <f>E21*H21</f>
      </c>
      <c r="J21">
        <f>(E21+F21+G21)*H21</f>
      </c>
      <c r="K21">
        <f>K20+I21</f>
      </c>
      <c r="L21">
        <f>L20+J21</f>
      </c>
    </row>
    <row r="22" spans="1:12" x14ac:dyDescent="0.25">
      <c r="A22">
        <v>19</v>
      </c>
      <c r="B22" t="s">
        <v>31</v>
      </c>
      <c r="C22" s="3">
        <v>5</v>
      </c>
      <c r="D22" s="3">
        <v>4</v>
      </c>
      <c r="E22">
        <f>ROUND(10*LN(A22+2),0)</f>
      </c>
      <c r="F22">
        <f>IF(AND(C22&lt;&gt;"",D22&lt;&gt;""),MAX(0,C22-D22)*2,0)</f>
      </c>
      <c r="G22" s="3">
        <v>15</v>
      </c>
      <c r="H22">
        <f>IF(MOD(A22,10)=0,2,1)</f>
      </c>
      <c r="I22">
        <f>E22*H22</f>
      </c>
      <c r="J22">
        <f>(E22+F22+G22)*H22</f>
      </c>
      <c r="K22">
        <f>K21+I22</f>
      </c>
      <c r="L22">
        <f>L21+J22</f>
      </c>
    </row>
    <row r="23" spans="1:12" x14ac:dyDescent="0.25">
      <c r="A23">
        <v>20</v>
      </c>
      <c r="B23" t="s">
        <v>32</v>
      </c>
      <c r="C23" s="3">
        <v>4</v>
      </c>
      <c r="D23" s="3">
        <v>3</v>
      </c>
      <c r="E23">
        <f>ROUND(10*LN(A23+2),0)</f>
      </c>
      <c r="F23">
        <f>IF(AND(C23&lt;&gt;"",D23&lt;&gt;""),MAX(0,C23-D23)*2,0)</f>
      </c>
      <c r="G23" s="3">
        <v>15</v>
      </c>
      <c r="H23">
        <f>IF(MOD(A23,10)=0,2,1)</f>
      </c>
      <c r="I23">
        <f>E23*H23</f>
      </c>
      <c r="J23">
        <f>(E23+F23+G23)*H23</f>
      </c>
      <c r="K23">
        <f>K22+I23</f>
      </c>
      <c r="L23">
        <f>L22+J23</f>
      </c>
    </row>
    <row r="24" spans="1:12" x14ac:dyDescent="0.25">
      <c r="A24">
        <v>21</v>
      </c>
      <c r="B24" t="s">
        <v>33</v>
      </c>
      <c r="C24" s="3">
        <v>3</v>
      </c>
      <c r="D24" s="3">
        <v>3</v>
      </c>
      <c r="E24">
        <f>ROUND(10*LN(A24+2),0)</f>
      </c>
      <c r="F24">
        <f>IF(AND(C24&lt;&gt;"",D24&lt;&gt;""),MAX(0,C24-D24)*2,0)</f>
      </c>
      <c r="G24" s="3">
        <v>15</v>
      </c>
      <c r="H24">
        <f>IF(MOD(A24,10)=0,2,1)</f>
      </c>
      <c r="I24">
        <f>E24*H24</f>
      </c>
      <c r="J24">
        <f>(E24+F24+G24)*H24</f>
      </c>
      <c r="K24">
        <f>K23+I24</f>
      </c>
      <c r="L24">
        <f>L23+J24</f>
      </c>
    </row>
    <row r="25" spans="1:12" x14ac:dyDescent="0.25">
      <c r="A25">
        <v>22</v>
      </c>
      <c r="B25" t="s">
        <v>34</v>
      </c>
      <c r="C25" s="3">
        <v>4</v>
      </c>
      <c r="D25" s="3">
        <v>4</v>
      </c>
      <c r="E25">
        <f>ROUND(10*LN(A25+2),0)</f>
      </c>
      <c r="F25">
        <f>IF(AND(C25&lt;&gt;"",D25&lt;&gt;""),MAX(0,C25-D25)*2,0)</f>
      </c>
      <c r="G25" s="3">
        <v>15</v>
      </c>
      <c r="H25">
        <f>IF(MOD(A25,10)=0,2,1)</f>
      </c>
      <c r="I25">
        <f>E25*H25</f>
      </c>
      <c r="J25">
        <f>(E25+F25+G25)*H25</f>
      </c>
      <c r="K25">
        <f>K24+I25</f>
      </c>
      <c r="L25">
        <f>L24+J25</f>
      </c>
    </row>
    <row r="26" spans="1:12" x14ac:dyDescent="0.25">
      <c r="A26">
        <v>23</v>
      </c>
      <c r="B26" t="s">
        <v>35</v>
      </c>
      <c r="C26" s="3">
        <v>4</v>
      </c>
      <c r="D26" s="3">
        <v>4</v>
      </c>
      <c r="E26">
        <f>ROUND(10*LN(A26+2),0)</f>
      </c>
      <c r="F26">
        <f>IF(AND(C26&lt;&gt;"",D26&lt;&gt;""),MAX(0,C26-D26)*2,0)</f>
      </c>
      <c r="G26" s="3">
        <v>15</v>
      </c>
      <c r="H26">
        <f>IF(MOD(A26,10)=0,2,1)</f>
      </c>
      <c r="I26">
        <f>E26*H26</f>
      </c>
      <c r="J26">
        <f>(E26+F26+G26)*H26</f>
      </c>
      <c r="K26">
        <f>K25+I26</f>
      </c>
      <c r="L26">
        <f>L25+J26</f>
      </c>
    </row>
    <row r="27" spans="1:12" x14ac:dyDescent="0.25">
      <c r="A27">
        <v>24</v>
      </c>
      <c r="B27" t="s">
        <v>36</v>
      </c>
      <c r="C27" s="3">
        <v>5</v>
      </c>
      <c r="D27" s="3">
        <v>5</v>
      </c>
      <c r="E27">
        <f>ROUND(10*LN(A27+2),0)</f>
      </c>
      <c r="F27">
        <f>IF(AND(C27&lt;&gt;"",D27&lt;&gt;""),MAX(0,C27-D27)*2,0)</f>
      </c>
      <c r="G27" s="3">
        <v>15</v>
      </c>
      <c r="H27">
        <f>IF(MOD(A27,10)=0,2,1)</f>
      </c>
      <c r="I27">
        <f>E27*H27</f>
      </c>
      <c r="J27">
        <f>(E27+F27+G27)*H27</f>
      </c>
      <c r="K27">
        <f>K26+I27</f>
      </c>
      <c r="L27">
        <f>L26+J27</f>
      </c>
    </row>
    <row r="28" spans="1:12" x14ac:dyDescent="0.25">
      <c r="A28">
        <v>25</v>
      </c>
      <c r="B28" t="s">
        <v>37</v>
      </c>
      <c r="C28" s="3">
        <v>5</v>
      </c>
      <c r="D28" s="3">
        <v>5</v>
      </c>
      <c r="E28">
        <f>ROUND(10*LN(A28+2),0)</f>
      </c>
      <c r="F28">
        <f>IF(AND(C28&lt;&gt;"",D28&lt;&gt;""),MAX(0,C28-D28)*2,0)</f>
      </c>
      <c r="G28" s="3">
        <v>15</v>
      </c>
      <c r="H28">
        <f>IF(MOD(A28,10)=0,2,1)</f>
      </c>
      <c r="I28">
        <f>E28*H28</f>
      </c>
      <c r="J28">
        <f>(E28+F28+G28)*H28</f>
      </c>
      <c r="K28">
        <f>K27+I28</f>
      </c>
      <c r="L28">
        <f>L27+J28</f>
      </c>
    </row>
    <row r="29" spans="1:12" x14ac:dyDescent="0.25">
      <c r="A29">
        <v>26</v>
      </c>
      <c r="B29" t="s">
        <v>38</v>
      </c>
      <c r="C29" s="3">
        <v>5</v>
      </c>
      <c r="D29" s="3">
        <v>5</v>
      </c>
      <c r="E29">
        <f>ROUND(10*LN(A29+2),0)</f>
      </c>
      <c r="F29">
        <f>IF(AND(C29&lt;&gt;"",D29&lt;&gt;""),MAX(0,C29-D29)*2,0)</f>
      </c>
      <c r="G29" s="3">
        <v>15</v>
      </c>
      <c r="H29">
        <f>IF(MOD(A29,10)=0,2,1)</f>
      </c>
      <c r="I29">
        <f>E29*H29</f>
      </c>
      <c r="J29">
        <f>(E29+F29+G29)*H29</f>
      </c>
      <c r="K29">
        <f>K28+I29</f>
      </c>
      <c r="L29">
        <f>L28+J29</f>
      </c>
    </row>
    <row r="30" spans="1:12" x14ac:dyDescent="0.25">
      <c r="A30">
        <v>27</v>
      </c>
      <c r="B30" t="s">
        <v>39</v>
      </c>
      <c r="C30" s="3">
        <v>5</v>
      </c>
      <c r="D30" s="3">
        <v>5</v>
      </c>
      <c r="E30">
        <f>ROUND(10*LN(A30+2),0)</f>
      </c>
      <c r="F30">
        <f>IF(AND(C30&lt;&gt;"",D30&lt;&gt;""),MAX(0,C30-D30)*2,0)</f>
      </c>
      <c r="G30" s="3">
        <v>15</v>
      </c>
      <c r="H30">
        <f>IF(MOD(A30,10)=0,2,1)</f>
      </c>
      <c r="I30">
        <f>E30*H30</f>
      </c>
      <c r="J30">
        <f>(E30+F30+G30)*H30</f>
      </c>
      <c r="K30">
        <f>K29+I30</f>
      </c>
      <c r="L30">
        <f>L29+J30</f>
      </c>
    </row>
    <row r="31" spans="1:12" x14ac:dyDescent="0.25">
      <c r="A31">
        <v>28</v>
      </c>
      <c r="B31" t="s">
        <v>40</v>
      </c>
      <c r="C31" s="3">
        <v>5</v>
      </c>
      <c r="D31" s="3">
        <v>5</v>
      </c>
      <c r="E31">
        <f>ROUND(10*LN(A31+2),0)</f>
      </c>
      <c r="F31">
        <f>IF(AND(C31&lt;&gt;"",D31&lt;&gt;""),MAX(0,C31-D31)*2,0)</f>
      </c>
      <c r="G31" s="3">
        <v>15</v>
      </c>
      <c r="H31">
        <f>IF(MOD(A31,10)=0,2,1)</f>
      </c>
      <c r="I31">
        <f>E31*H31</f>
      </c>
      <c r="J31">
        <f>(E31+F31+G31)*H31</f>
      </c>
      <c r="K31">
        <f>K30+I31</f>
      </c>
      <c r="L31">
        <f>L30+J31</f>
      </c>
    </row>
    <row r="32" spans="1:12" x14ac:dyDescent="0.25">
      <c r="A32">
        <v>29</v>
      </c>
      <c r="B32" t="s">
        <v>41</v>
      </c>
      <c r="C32" s="3">
        <v>6</v>
      </c>
      <c r="D32" s="3">
        <v>6</v>
      </c>
      <c r="E32">
        <f>ROUND(10*LN(A32+2),0)</f>
      </c>
      <c r="F32">
        <f>IF(AND(C32&lt;&gt;"",D32&lt;&gt;""),MAX(0,C32-D32)*2,0)</f>
      </c>
      <c r="G32" s="3">
        <v>15</v>
      </c>
      <c r="H32">
        <f>IF(MOD(A32,10)=0,2,1)</f>
      </c>
      <c r="I32">
        <f>E32*H32</f>
      </c>
      <c r="J32">
        <f>(E32+F32+G32)*H32</f>
      </c>
      <c r="K32">
        <f>K31+I32</f>
      </c>
      <c r="L32">
        <f>L31+J32</f>
      </c>
    </row>
    <row r="33" spans="1:12" x14ac:dyDescent="0.25">
      <c r="A33">
        <v>30</v>
      </c>
      <c r="B33" t="s">
        <v>42</v>
      </c>
      <c r="C33" s="3">
        <v>8</v>
      </c>
      <c r="D33" s="3">
        <v>8</v>
      </c>
      <c r="E33">
        <f>ROUND(10*LN(A33+2),0)</f>
      </c>
      <c r="F33">
        <f>IF(AND(C33&lt;&gt;"",D33&lt;&gt;""),MAX(0,C33-D33)*2,0)</f>
      </c>
      <c r="G33" s="3">
        <v>15</v>
      </c>
      <c r="H33">
        <f>IF(MOD(A33,10)=0,2,1)</f>
      </c>
      <c r="I33">
        <f>E33*H33</f>
      </c>
      <c r="J33">
        <f>(E33+F33+G33)*H33</f>
      </c>
      <c r="K33">
        <f>K32+I33</f>
      </c>
      <c r="L33">
        <f>L32+J33</f>
      </c>
    </row>
    <row r="34" spans="1:12" x14ac:dyDescent="0.25">
      <c r="A34">
        <v>31</v>
      </c>
      <c r="B34" t="s">
        <v>43</v>
      </c>
      <c r="C34" s="3">
        <v>4</v>
      </c>
      <c r="D34" s="3">
        <v>2</v>
      </c>
      <c r="E34">
        <f>ROUND(10*LN(A34+2),0)</f>
      </c>
      <c r="F34">
        <f>IF(AND(C34&lt;&gt;"",D34&lt;&gt;""),MAX(0,C34-D34)*2,0)</f>
      </c>
      <c r="G34" s="3">
        <v>15</v>
      </c>
      <c r="H34">
        <f>IF(MOD(A34,10)=0,2,1)</f>
      </c>
      <c r="I34">
        <f>E34*H34</f>
      </c>
      <c r="J34">
        <f>(E34+F34+G34)*H34</f>
      </c>
      <c r="K34">
        <f>K33+I34</f>
      </c>
      <c r="L34">
        <f>L33+J34</f>
      </c>
    </row>
    <row r="35" spans="1:12" x14ac:dyDescent="0.25">
      <c r="A35">
        <v>32</v>
      </c>
      <c r="B35" t="s">
        <v>44</v>
      </c>
      <c r="C35" s="3">
        <v>3</v>
      </c>
      <c r="D35" s="3">
        <v>3</v>
      </c>
      <c r="E35">
        <f>ROUND(10*LN(A35+2),0)</f>
      </c>
      <c r="F35">
        <f>IF(AND(C35&lt;&gt;"",D35&lt;&gt;""),MAX(0,C35-D35)*2,0)</f>
      </c>
      <c r="G35" s="3">
        <v>15</v>
      </c>
      <c r="H35">
        <f>IF(MOD(A35,10)=0,2,1)</f>
      </c>
      <c r="I35">
        <f>E35*H35</f>
      </c>
      <c r="J35">
        <f>(E35+F35+G35)*H35</f>
      </c>
      <c r="K35">
        <f>K34+I35</f>
      </c>
      <c r="L35">
        <f>L34+J35</f>
      </c>
    </row>
    <row r="36" spans="1:12" x14ac:dyDescent="0.25">
      <c r="A36">
        <v>33</v>
      </c>
      <c r="B36" t="s">
        <v>45</v>
      </c>
      <c r="C36" s="3">
        <v>2</v>
      </c>
      <c r="D36" s="3">
        <v>2</v>
      </c>
      <c r="E36">
        <f>ROUND(10*LN(A36+2),0)</f>
      </c>
      <c r="F36">
        <f>IF(AND(C36&lt;&gt;"",D36&lt;&gt;""),MAX(0,C36-D36)*2,0)</f>
      </c>
      <c r="G36" s="3">
        <v>15</v>
      </c>
      <c r="H36">
        <f>IF(MOD(A36,10)=0,2,1)</f>
      </c>
      <c r="I36">
        <f>E36*H36</f>
      </c>
      <c r="J36">
        <f>(E36+F36+G36)*H36</f>
      </c>
      <c r="K36">
        <f>K35+I36</f>
      </c>
      <c r="L36">
        <f>L35+J36</f>
      </c>
    </row>
    <row r="37" spans="1:12" x14ac:dyDescent="0.25">
      <c r="A37">
        <v>34</v>
      </c>
      <c r="B37" t="s">
        <v>46</v>
      </c>
      <c r="C37" s="3">
        <v>4</v>
      </c>
      <c r="D37" s="3">
        <v>3</v>
      </c>
      <c r="E37">
        <f>ROUND(10*LN(A37+2),0)</f>
      </c>
      <c r="F37">
        <f>IF(AND(C37&lt;&gt;"",D37&lt;&gt;""),MAX(0,C37-D37)*2,0)</f>
      </c>
      <c r="G37" s="3">
        <v>15</v>
      </c>
      <c r="H37">
        <f>IF(MOD(A37,10)=0,2,1)</f>
      </c>
      <c r="I37">
        <f>E37*H37</f>
      </c>
      <c r="J37">
        <f>(E37+F37+G37)*H37</f>
      </c>
      <c r="K37">
        <f>K36+I37</f>
      </c>
      <c r="L37">
        <f>L36+J37</f>
      </c>
    </row>
    <row r="38" spans="1:12" x14ac:dyDescent="0.25">
      <c r="A38">
        <v>35</v>
      </c>
      <c r="B38" t="s">
        <v>47</v>
      </c>
      <c r="C38" s="3">
        <v>5</v>
      </c>
      <c r="D38" s="3">
        <v>4</v>
      </c>
      <c r="E38">
        <f>ROUND(10*LN(A38+2),0)</f>
      </c>
      <c r="F38">
        <f>IF(AND(C38&lt;&gt;"",D38&lt;&gt;""),MAX(0,C38-D38)*2,0)</f>
      </c>
      <c r="G38" s="3">
        <v>15</v>
      </c>
      <c r="H38">
        <f>IF(MOD(A38,10)=0,2,1)</f>
      </c>
      <c r="I38">
        <f>E38*H38</f>
      </c>
      <c r="J38">
        <f>(E38+F38+G38)*H38</f>
      </c>
      <c r="K38">
        <f>K37+I38</f>
      </c>
      <c r="L38">
        <f>L37+J38</f>
      </c>
    </row>
    <row r="39" spans="1:12" x14ac:dyDescent="0.25">
      <c r="A39">
        <v>36</v>
      </c>
      <c r="B39" t="s">
        <v>48</v>
      </c>
      <c r="C39" s="3">
        <v>5</v>
      </c>
      <c r="D39" s="3">
        <v>5</v>
      </c>
      <c r="E39">
        <f>ROUND(10*LN(A39+2),0)</f>
      </c>
      <c r="F39">
        <f>IF(AND(C39&lt;&gt;"",D39&lt;&gt;""),MAX(0,C39-D39)*2,0)</f>
      </c>
      <c r="G39" s="3">
        <v>15</v>
      </c>
      <c r="H39">
        <f>IF(MOD(A39,10)=0,2,1)</f>
      </c>
      <c r="I39">
        <f>E39*H39</f>
      </c>
      <c r="J39">
        <f>(E39+F39+G39)*H39</f>
      </c>
      <c r="K39">
        <f>K38+I39</f>
      </c>
      <c r="L39">
        <f>L38+J39</f>
      </c>
    </row>
    <row r="40" spans="1:12" x14ac:dyDescent="0.25">
      <c r="A40">
        <v>37</v>
      </c>
      <c r="B40" t="s">
        <v>49</v>
      </c>
      <c r="C40" s="3">
        <v>5</v>
      </c>
      <c r="D40" s="3">
        <v>4</v>
      </c>
      <c r="E40">
        <f>ROUND(10*LN(A40+2),0)</f>
      </c>
      <c r="F40">
        <f>IF(AND(C40&lt;&gt;"",D40&lt;&gt;""),MAX(0,C40-D40)*2,0)</f>
      </c>
      <c r="G40" s="3">
        <v>15</v>
      </c>
      <c r="H40">
        <f>IF(MOD(A40,10)=0,2,1)</f>
      </c>
      <c r="I40">
        <f>E40*H40</f>
      </c>
      <c r="J40">
        <f>(E40+F40+G40)*H40</f>
      </c>
      <c r="K40">
        <f>K39+I40</f>
      </c>
      <c r="L40">
        <f>L39+J40</f>
      </c>
    </row>
    <row r="41" spans="1:12" x14ac:dyDescent="0.25">
      <c r="A41">
        <v>38</v>
      </c>
      <c r="B41" t="s">
        <v>50</v>
      </c>
      <c r="C41" s="3">
        <v>3</v>
      </c>
      <c r="D41" s="3">
        <v>3</v>
      </c>
      <c r="E41">
        <f>ROUND(10*LN(A41+2),0)</f>
      </c>
      <c r="F41">
        <f>IF(AND(C41&lt;&gt;"",D41&lt;&gt;""),MAX(0,C41-D41)*2,0)</f>
      </c>
      <c r="G41" s="3">
        <v>15</v>
      </c>
      <c r="H41">
        <f>IF(MOD(A41,10)=0,2,1)</f>
      </c>
      <c r="I41">
        <f>E41*H41</f>
      </c>
      <c r="J41">
        <f>(E41+F41+G41)*H41</f>
      </c>
      <c r="K41">
        <f>K40+I41</f>
      </c>
      <c r="L41">
        <f>L40+J41</f>
      </c>
    </row>
    <row r="42" spans="1:12" x14ac:dyDescent="0.25">
      <c r="A42">
        <v>39</v>
      </c>
      <c r="B42" t="s">
        <v>51</v>
      </c>
      <c r="C42" s="3">
        <v>7</v>
      </c>
      <c r="D42" s="3">
        <v>6</v>
      </c>
      <c r="E42">
        <f>ROUND(10*LN(A42+2),0)</f>
      </c>
      <c r="F42">
        <f>IF(AND(C42&lt;&gt;"",D42&lt;&gt;""),MAX(0,C42-D42)*2,0)</f>
      </c>
      <c r="G42" s="3">
        <v>15</v>
      </c>
      <c r="H42">
        <f>IF(MOD(A42,10)=0,2,1)</f>
      </c>
      <c r="I42">
        <f>E42*H42</f>
      </c>
      <c r="J42">
        <f>(E42+F42+G42)*H42</f>
      </c>
      <c r="K42">
        <f>K41+I42</f>
      </c>
      <c r="L42">
        <f>L41+J42</f>
      </c>
    </row>
    <row r="43" spans="1:12" x14ac:dyDescent="0.25">
      <c r="A43">
        <v>40</v>
      </c>
      <c r="B43" t="s">
        <v>52</v>
      </c>
      <c r="C43" s="3">
        <v>5</v>
      </c>
      <c r="D43" s="3">
        <v>3</v>
      </c>
      <c r="E43">
        <f>ROUND(10*LN(A43+2),0)</f>
      </c>
      <c r="F43">
        <f>IF(AND(C43&lt;&gt;"",D43&lt;&gt;""),MAX(0,C43-D43)*2,0)</f>
      </c>
      <c r="G43" s="3">
        <v>15</v>
      </c>
      <c r="H43">
        <f>IF(MOD(A43,10)=0,2,1)</f>
      </c>
      <c r="I43">
        <f>E43*H43</f>
      </c>
      <c r="J43">
        <f>(E43+F43+G43)*H43</f>
      </c>
      <c r="K43">
        <f>K42+I43</f>
      </c>
      <c r="L43">
        <f>L42+J43</f>
      </c>
    </row>
    <row r="44" spans="1:12" x14ac:dyDescent="0.25">
      <c r="A44">
        <v>41</v>
      </c>
      <c r="B44" t="s">
        <v>53</v>
      </c>
      <c r="C44" s="3">
        <v>6</v>
      </c>
      <c r="D44" s="3">
        <v>6</v>
      </c>
      <c r="E44">
        <f>ROUND(10*LN(A44+2),0)</f>
      </c>
      <c r="F44">
        <f>IF(AND(C44&lt;&gt;"",D44&lt;&gt;""),MAX(0,C44-D44)*2,0)</f>
      </c>
      <c r="G44" s="3">
        <v>15</v>
      </c>
      <c r="H44">
        <f>IF(MOD(A44,10)=0,2,1)</f>
      </c>
      <c r="I44">
        <f>E44*H44</f>
      </c>
      <c r="J44">
        <f>(E44+F44+G44)*H44</f>
      </c>
      <c r="K44">
        <f>K43+I44</f>
      </c>
      <c r="L44">
        <f>L43+J44</f>
      </c>
    </row>
    <row r="45" spans="1:12" x14ac:dyDescent="0.25">
      <c r="A45">
        <v>42</v>
      </c>
      <c r="B45" t="s">
        <v>54</v>
      </c>
      <c r="C45" s="3">
        <v>3</v>
      </c>
      <c r="D45" s="3">
        <v>3</v>
      </c>
      <c r="E45">
        <f>ROUND(10*LN(A45+2),0)</f>
      </c>
      <c r="F45">
        <f>IF(AND(C45&lt;&gt;"",D45&lt;&gt;""),MAX(0,C45-D45)*2,0)</f>
      </c>
      <c r="G45" s="3">
        <v>15</v>
      </c>
      <c r="H45">
        <f>IF(MOD(A45,10)=0,2,1)</f>
      </c>
      <c r="I45">
        <f>E45*H45</f>
      </c>
      <c r="J45">
        <f>(E45+F45+G45)*H45</f>
      </c>
      <c r="K45">
        <f>K44+I45</f>
      </c>
      <c r="L45">
        <f>L44+J45</f>
      </c>
    </row>
    <row r="46" spans="1:12" x14ac:dyDescent="0.25">
      <c r="A46">
        <v>43</v>
      </c>
      <c r="B46" t="s">
        <v>55</v>
      </c>
      <c r="C46" s="3">
        <v>5</v>
      </c>
      <c r="D46" s="3">
        <v>5</v>
      </c>
      <c r="E46">
        <f>ROUND(10*LN(A46+2),0)</f>
      </c>
      <c r="F46">
        <f>IF(AND(C46&lt;&gt;"",D46&lt;&gt;""),MAX(0,C46-D46)*2,0)</f>
      </c>
      <c r="G46" s="3">
        <v>15</v>
      </c>
      <c r="H46">
        <f>IF(MOD(A46,10)=0,2,1)</f>
      </c>
      <c r="I46">
        <f>E46*H46</f>
      </c>
      <c r="J46">
        <f>(E46+F46+G46)*H46</f>
      </c>
      <c r="K46">
        <f>K45+I46</f>
      </c>
      <c r="L46">
        <f>L45+J46</f>
      </c>
    </row>
    <row r="47" spans="1:12" x14ac:dyDescent="0.25">
      <c r="A47">
        <v>44</v>
      </c>
      <c r="B47" t="s">
        <v>56</v>
      </c>
      <c r="C47" s="3">
        <v>7</v>
      </c>
      <c r="D47" s="3">
        <v>7</v>
      </c>
      <c r="E47">
        <f>ROUND(10*LN(A47+2),0)</f>
      </c>
      <c r="F47">
        <f>IF(AND(C47&lt;&gt;"",D47&lt;&gt;""),MAX(0,C47-D47)*2,0)</f>
      </c>
      <c r="G47" s="3">
        <v>15</v>
      </c>
      <c r="H47">
        <f>IF(MOD(A47,10)=0,2,1)</f>
      </c>
      <c r="I47">
        <f>E47*H47</f>
      </c>
      <c r="J47">
        <f>(E47+F47+G47)*H47</f>
      </c>
      <c r="K47">
        <f>K46+I47</f>
      </c>
      <c r="L47">
        <f>L46+J47</f>
      </c>
    </row>
    <row r="48" spans="1:12" x14ac:dyDescent="0.25">
      <c r="A48">
        <v>45</v>
      </c>
      <c r="B48" t="s">
        <v>57</v>
      </c>
      <c r="C48" s="3">
        <v>5</v>
      </c>
      <c r="D48" s="3">
        <v>5</v>
      </c>
      <c r="E48">
        <f>ROUND(10*LN(A48+2),0)</f>
      </c>
      <c r="F48">
        <f>IF(AND(C48&lt;&gt;"",D48&lt;&gt;""),MAX(0,C48-D48)*2,0)</f>
      </c>
      <c r="G48" s="3">
        <v>15</v>
      </c>
      <c r="H48">
        <f>IF(MOD(A48,10)=0,2,1)</f>
      </c>
      <c r="I48">
        <f>E48*H48</f>
      </c>
      <c r="J48">
        <f>(E48+F48+G48)*H48</f>
      </c>
      <c r="K48">
        <f>K47+I48</f>
      </c>
      <c r="L48">
        <f>L47+J48</f>
      </c>
    </row>
    <row r="49" spans="1:12" x14ac:dyDescent="0.25">
      <c r="A49">
        <v>46</v>
      </c>
      <c r="B49" t="s">
        <v>58</v>
      </c>
      <c r="C49" s="3">
        <v>1</v>
      </c>
      <c r="D49" s="3">
        <v>1</v>
      </c>
      <c r="E49">
        <f>ROUND(10*LN(A49+2),0)</f>
      </c>
      <c r="F49">
        <f>IF(AND(C49&lt;&gt;"",D49&lt;&gt;""),MAX(0,C49-D49)*2,0)</f>
      </c>
      <c r="G49" s="3">
        <v>15</v>
      </c>
      <c r="H49">
        <f>IF(MOD(A49,10)=0,2,1)</f>
      </c>
      <c r="I49">
        <f>E49*H49</f>
      </c>
      <c r="J49">
        <f>(E49+F49+G49)*H49</f>
      </c>
      <c r="K49">
        <f>K48+I49</f>
      </c>
      <c r="L49">
        <f>L48+J49</f>
      </c>
    </row>
    <row r="50" spans="1:12" x14ac:dyDescent="0.25">
      <c r="A50">
        <v>47</v>
      </c>
      <c r="B50" t="s">
        <v>59</v>
      </c>
      <c r="C50" s="3">
        <v>6</v>
      </c>
      <c r="D50" s="3">
        <v>6</v>
      </c>
      <c r="E50">
        <f>ROUND(10*LN(A50+2),0)</f>
      </c>
      <c r="F50">
        <f>IF(AND(C50&lt;&gt;"",D50&lt;&gt;""),MAX(0,C50-D50)*2,0)</f>
      </c>
      <c r="G50" s="3">
        <v>15</v>
      </c>
      <c r="H50">
        <f>IF(MOD(A50,10)=0,2,1)</f>
      </c>
      <c r="I50">
        <f>E50*H50</f>
      </c>
      <c r="J50">
        <f>(E50+F50+G50)*H50</f>
      </c>
      <c r="K50">
        <f>K49+I50</f>
      </c>
      <c r="L50">
        <f>L49+J50</f>
      </c>
    </row>
    <row r="51" spans="1:12" x14ac:dyDescent="0.25">
      <c r="A51">
        <v>48</v>
      </c>
      <c r="B51" t="s">
        <v>60</v>
      </c>
      <c r="C51" s="3">
        <v>3</v>
      </c>
      <c r="D51" s="3">
        <v>3</v>
      </c>
      <c r="E51">
        <f>ROUND(10*LN(A51+2),0)</f>
      </c>
      <c r="F51">
        <f>IF(AND(C51&lt;&gt;"",D51&lt;&gt;""),MAX(0,C51-D51)*2,0)</f>
      </c>
      <c r="G51" s="3">
        <v>15</v>
      </c>
      <c r="H51">
        <f>IF(MOD(A51,10)=0,2,1)</f>
      </c>
      <c r="I51">
        <f>E51*H51</f>
      </c>
      <c r="J51">
        <f>(E51+F51+G51)*H51</f>
      </c>
      <c r="K51">
        <f>K50+I51</f>
      </c>
      <c r="L51">
        <f>L50+J51</f>
      </c>
    </row>
    <row r="52" spans="1:12" x14ac:dyDescent="0.25">
      <c r="A52">
        <v>49</v>
      </c>
      <c r="B52" t="s">
        <v>61</v>
      </c>
      <c r="C52" s="3">
        <v>7</v>
      </c>
      <c r="D52" s="3">
        <v>7</v>
      </c>
      <c r="E52">
        <f>ROUND(10*LN(A52+2),0)</f>
      </c>
      <c r="F52">
        <f>IF(AND(C52&lt;&gt;"",D52&lt;&gt;""),MAX(0,C52-D52)*2,0)</f>
      </c>
      <c r="G52" s="3">
        <v>15</v>
      </c>
      <c r="H52">
        <f>IF(MOD(A52,10)=0,2,1)</f>
      </c>
      <c r="I52">
        <f>E52*H52</f>
      </c>
      <c r="J52">
        <f>(E52+F52+G52)*H52</f>
      </c>
      <c r="K52">
        <f>K51+I52</f>
      </c>
      <c r="L52">
        <f>L51+J52</f>
      </c>
    </row>
    <row r="53" spans="1:12" x14ac:dyDescent="0.25">
      <c r="A53">
        <v>50</v>
      </c>
      <c r="B53" t="s">
        <v>62</v>
      </c>
      <c r="C53" s="3">
        <v>5</v>
      </c>
      <c r="D53" s="3">
        <v>5</v>
      </c>
      <c r="E53">
        <f>ROUND(10*LN(A53+2),0)</f>
      </c>
      <c r="F53">
        <f>IF(AND(C53&lt;&gt;"",D53&lt;&gt;""),MAX(0,C53-D53)*2,0)</f>
      </c>
      <c r="G53" s="3">
        <v>15</v>
      </c>
      <c r="H53">
        <f>IF(MOD(A53,10)=0,2,1)</f>
      </c>
      <c r="I53">
        <f>E53*H53</f>
      </c>
      <c r="J53">
        <f>(E53+F53+G53)*H53</f>
      </c>
      <c r="K53">
        <f>K52+I53</f>
      </c>
      <c r="L53">
        <f>L52+J53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12" customWidth="1"/>
    <col min="2" max="2" width="42" customWidth="1"/>
    <col min="3" max="4" width="12" customWidth="1"/>
    <col min="5" max="5" width="14" customWidth="1"/>
    <col min="6" max="6" width="10" customWidth="1"/>
  </cols>
  <sheetData>
    <row r="1" spans="1:1" s="1" customFormat="1" x14ac:dyDescent="0.25">
      <c r="A1" s="1" t="s">
        <v>63</v>
      </c>
    </row>
    <row r="3" ht="28" customHeight="1" spans="1:6" x14ac:dyDescent="0.25">
      <c r="A3" s="2" t="s">
        <v>64</v>
      </c>
      <c r="B3" s="2" t="s">
        <v>65</v>
      </c>
      <c r="C3" s="2" t="s">
        <v>66</v>
      </c>
      <c r="D3" s="2" t="s">
        <v>67</v>
      </c>
      <c r="E3" s="2" t="s">
        <v>68</v>
      </c>
      <c r="F3" s="2" t="s">
        <v>69</v>
      </c>
    </row>
    <row r="4" spans="1:6" x14ac:dyDescent="0.25">
      <c r="A4" t="s">
        <v>70</v>
      </c>
      <c r="B4" t="s">
        <v>71</v>
      </c>
      <c r="C4" s="3">
        <v>1</v>
      </c>
      <c r="D4" s="3">
        <v>20</v>
      </c>
      <c r="E4" s="3">
        <v>0</v>
      </c>
      <c r="F4" s="3">
        <v>0</v>
      </c>
    </row>
    <row r="5" spans="1:6" x14ac:dyDescent="0.25">
      <c r="A5" t="s">
        <v>72</v>
      </c>
      <c r="B5" t="s">
        <v>73</v>
      </c>
      <c r="C5" s="3">
        <v>6</v>
      </c>
      <c r="D5" s="3">
        <v>20</v>
      </c>
      <c r="E5" s="3">
        <v>0</v>
      </c>
      <c r="F5" s="3">
        <v>0</v>
      </c>
    </row>
    <row r="6" spans="1:6" x14ac:dyDescent="0.25">
      <c r="A6" t="s">
        <v>74</v>
      </c>
      <c r="B6" t="s">
        <v>75</v>
      </c>
      <c r="C6" s="3">
        <v>1</v>
      </c>
      <c r="D6" s="3">
        <v>0</v>
      </c>
      <c r="E6" s="3">
        <v>1</v>
      </c>
      <c r="F6" s="3">
        <v>1</v>
      </c>
    </row>
    <row r="7" spans="1:6" x14ac:dyDescent="0.25">
      <c r="A7" t="s">
        <v>76</v>
      </c>
      <c r="B7" t="s">
        <v>77</v>
      </c>
      <c r="C7" s="3">
        <v>1</v>
      </c>
      <c r="D7" s="3">
        <v>25</v>
      </c>
      <c r="E7" s="3">
        <v>0</v>
      </c>
      <c r="F7" s="3">
        <v>0</v>
      </c>
    </row>
    <row r="8" spans="1:6" x14ac:dyDescent="0.25">
      <c r="A8" t="s">
        <v>78</v>
      </c>
      <c r="B8" t="s">
        <v>79</v>
      </c>
      <c r="C8" s="3">
        <v>1</v>
      </c>
      <c r="D8" s="3">
        <v>30</v>
      </c>
      <c r="E8" s="3">
        <v>0</v>
      </c>
      <c r="F8" s="3">
        <v>0</v>
      </c>
    </row>
    <row r="9" spans="1:6" x14ac:dyDescent="0.25">
      <c r="A9" t="s">
        <v>80</v>
      </c>
      <c r="B9" t="s">
        <v>81</v>
      </c>
      <c r="C9" s="3">
        <v>1</v>
      </c>
      <c r="D9" s="3">
        <v>25</v>
      </c>
      <c r="E9" s="3">
        <v>0</v>
      </c>
      <c r="F9" s="3">
        <v>0</v>
      </c>
    </row>
    <row r="11" spans="1:6" s="4" customFormat="1" x14ac:dyDescent="0.25">
      <c r="A11" s="4" t="s">
        <v>82</v>
      </c>
      <c r="B11" s="4" t="s">
        <v>83</v>
      </c>
      <c r="C11" s="4" t="s">
        <v>82</v>
      </c>
      <c r="D11" s="4">
        <f>AVERAGE(D4:D9)</f>
      </c>
      <c r="E11" s="4">
        <f>AVERAGE(E4:E9)</f>
      </c>
      <c r="F11" s="4">
        <f>AVERAGE(F4:F9)</f>
      </c>
    </row>
    <row r="12" spans="1:6" s="4" customFormat="1" x14ac:dyDescent="0.25">
      <c r="A12" s="4" t="s">
        <v>82</v>
      </c>
      <c r="B12" s="4" t="s">
        <v>84</v>
      </c>
      <c r="C12" s="4" t="s">
        <v>82</v>
      </c>
      <c r="D12" s="4">
        <f>D11*3</f>
      </c>
      <c r="E12" s="4" t="s">
        <v>82</v>
      </c>
      <c r="F12" s="4" t="s">
        <v>82</v>
      </c>
    </row>
    <row r="14" spans="1:1" s="1" customFormat="1" x14ac:dyDescent="0.25">
      <c r="A14" s="1" t="s">
        <v>85</v>
      </c>
    </row>
    <row r="15" ht="28" customHeight="1" spans="1:6" x14ac:dyDescent="0.25">
      <c r="A15" s="2" t="s">
        <v>86</v>
      </c>
      <c r="B15" s="2" t="s">
        <v>82</v>
      </c>
      <c r="C15" s="2" t="s">
        <v>82</v>
      </c>
      <c r="D15" s="2" t="s">
        <v>67</v>
      </c>
      <c r="E15" s="2" t="s">
        <v>68</v>
      </c>
      <c r="F15" s="2" t="s">
        <v>69</v>
      </c>
    </row>
    <row r="16" spans="1:6" x14ac:dyDescent="0.25">
      <c r="A16">
        <v>1</v>
      </c>
      <c r="B16" t="s">
        <v>82</v>
      </c>
      <c r="C16" t="s">
        <v>82</v>
      </c>
      <c r="D16" s="3">
        <v>15</v>
      </c>
      <c r="E16" s="3">
        <v>0</v>
      </c>
      <c r="F16" s="3">
        <v>0</v>
      </c>
    </row>
    <row r="17" spans="1:6" x14ac:dyDescent="0.25">
      <c r="A17">
        <v>2</v>
      </c>
      <c r="B17" t="s">
        <v>82</v>
      </c>
      <c r="C17" t="s">
        <v>82</v>
      </c>
      <c r="D17" s="3">
        <v>25</v>
      </c>
      <c r="E17" s="3">
        <v>1</v>
      </c>
      <c r="F17" s="3">
        <v>0</v>
      </c>
    </row>
    <row r="18" spans="1:6" x14ac:dyDescent="0.25">
      <c r="A18">
        <v>3</v>
      </c>
      <c r="B18" t="s">
        <v>82</v>
      </c>
      <c r="C18" t="s">
        <v>82</v>
      </c>
      <c r="D18" s="3">
        <v>40</v>
      </c>
      <c r="E18" s="3">
        <v>1</v>
      </c>
      <c r="F18" s="3">
        <v>1</v>
      </c>
    </row>
    <row r="19" spans="1:6" s="4" customFormat="1" x14ac:dyDescent="0.25">
      <c r="A19" s="4" t="s">
        <v>82</v>
      </c>
      <c r="B19" s="4" t="s">
        <v>87</v>
      </c>
      <c r="C19" s="4" t="s">
        <v>82</v>
      </c>
      <c r="D19" s="4">
        <f>SUM(D16:D18)</f>
      </c>
      <c r="E19" s="4">
        <f>SUM(E16:E18)</f>
      </c>
      <c r="F19" s="4">
        <f>SUM(F16:F18)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10" customWidth="1"/>
    <col min="5" max="5" width="20" customWidth="1"/>
  </cols>
  <sheetData>
    <row r="1" spans="1:1" s="1" customFormat="1" x14ac:dyDescent="0.25">
      <c r="A1" s="1" t="s">
        <v>88</v>
      </c>
    </row>
    <row r="3" ht="28" customHeight="1" spans="1:5" x14ac:dyDescent="0.25">
      <c r="A3" s="2" t="s">
        <v>89</v>
      </c>
      <c r="B3" s="2" t="s">
        <v>67</v>
      </c>
      <c r="C3" s="2" t="s">
        <v>68</v>
      </c>
      <c r="D3" s="2" t="s">
        <v>69</v>
      </c>
      <c r="E3" s="2" t="s">
        <v>90</v>
      </c>
    </row>
    <row r="4" spans="1:5" x14ac:dyDescent="0.25">
      <c r="A4">
        <v>1</v>
      </c>
      <c r="B4" s="3">
        <v>10</v>
      </c>
      <c r="C4" s="3">
        <v>0</v>
      </c>
      <c r="D4" s="3">
        <v>0</v>
      </c>
      <c r="E4" t="s">
        <v>82</v>
      </c>
    </row>
    <row r="5" spans="1:5" x14ac:dyDescent="0.25">
      <c r="A5">
        <v>2</v>
      </c>
      <c r="B5" s="3">
        <v>10</v>
      </c>
      <c r="C5" s="3">
        <v>0</v>
      </c>
      <c r="D5" s="3">
        <v>0</v>
      </c>
      <c r="E5" t="s">
        <v>82</v>
      </c>
    </row>
    <row r="6" spans="1:5" x14ac:dyDescent="0.25">
      <c r="A6">
        <v>3</v>
      </c>
      <c r="B6" s="3">
        <v>10</v>
      </c>
      <c r="C6" s="3">
        <v>0</v>
      </c>
      <c r="D6" s="3">
        <v>0</v>
      </c>
      <c r="E6" t="s">
        <v>82</v>
      </c>
    </row>
    <row r="7" spans="1:5" x14ac:dyDescent="0.25">
      <c r="A7">
        <v>4</v>
      </c>
      <c r="B7" s="3">
        <v>10</v>
      </c>
      <c r="C7" s="3">
        <v>0</v>
      </c>
      <c r="D7" s="3">
        <v>0</v>
      </c>
      <c r="E7" t="s">
        <v>82</v>
      </c>
    </row>
    <row r="8" spans="1:5" x14ac:dyDescent="0.25">
      <c r="A8">
        <v>5</v>
      </c>
      <c r="B8" s="3">
        <v>10</v>
      </c>
      <c r="C8" s="3">
        <v>1</v>
      </c>
      <c r="D8" s="3">
        <v>0</v>
      </c>
      <c r="E8" t="s">
        <v>82</v>
      </c>
    </row>
    <row r="9" spans="1:5" x14ac:dyDescent="0.25">
      <c r="A9">
        <v>6</v>
      </c>
      <c r="B9" s="3">
        <v>10</v>
      </c>
      <c r="C9" s="3">
        <v>0</v>
      </c>
      <c r="D9" s="3">
        <v>0</v>
      </c>
      <c r="E9" t="s">
        <v>82</v>
      </c>
    </row>
    <row r="10" spans="1:5" x14ac:dyDescent="0.25">
      <c r="A10">
        <v>7</v>
      </c>
      <c r="B10" s="3">
        <v>10</v>
      </c>
      <c r="C10" s="3">
        <v>0</v>
      </c>
      <c r="D10" s="3">
        <v>0</v>
      </c>
      <c r="E10" t="s">
        <v>82</v>
      </c>
    </row>
    <row r="11" spans="1:5" x14ac:dyDescent="0.25">
      <c r="A11">
        <v>8</v>
      </c>
      <c r="B11" s="3">
        <v>10</v>
      </c>
      <c r="C11" s="3">
        <v>0</v>
      </c>
      <c r="D11" s="3">
        <v>0</v>
      </c>
      <c r="E11" t="s">
        <v>82</v>
      </c>
    </row>
    <row r="12" spans="1:5" x14ac:dyDescent="0.25">
      <c r="A12">
        <v>9</v>
      </c>
      <c r="B12" s="3">
        <v>10</v>
      </c>
      <c r="C12" s="3">
        <v>0</v>
      </c>
      <c r="D12" s="3">
        <v>0</v>
      </c>
      <c r="E12" t="s">
        <v>82</v>
      </c>
    </row>
    <row r="13" spans="1:5" x14ac:dyDescent="0.25">
      <c r="A13" s="5">
        <v>10</v>
      </c>
      <c r="B13" s="6">
        <v>60</v>
      </c>
      <c r="C13" s="6">
        <v>3</v>
      </c>
      <c r="D13" s="6">
        <v>3</v>
      </c>
      <c r="E13" s="5" t="s">
        <v>91</v>
      </c>
    </row>
    <row r="14" spans="1:5" x14ac:dyDescent="0.25">
      <c r="A14">
        <v>11</v>
      </c>
      <c r="B14" s="3">
        <v>15</v>
      </c>
      <c r="C14" s="3">
        <v>0</v>
      </c>
      <c r="D14" s="3">
        <v>0</v>
      </c>
      <c r="E14" t="s">
        <v>82</v>
      </c>
    </row>
    <row r="15" spans="1:5" x14ac:dyDescent="0.25">
      <c r="A15">
        <v>12</v>
      </c>
      <c r="B15" s="3">
        <v>15</v>
      </c>
      <c r="C15" s="3">
        <v>0</v>
      </c>
      <c r="D15" s="3">
        <v>0</v>
      </c>
      <c r="E15" t="s">
        <v>82</v>
      </c>
    </row>
    <row r="16" spans="1:5" x14ac:dyDescent="0.25">
      <c r="A16">
        <v>13</v>
      </c>
      <c r="B16" s="3">
        <v>15</v>
      </c>
      <c r="C16" s="3">
        <v>0</v>
      </c>
      <c r="D16" s="3">
        <v>0</v>
      </c>
      <c r="E16" t="s">
        <v>82</v>
      </c>
    </row>
    <row r="17" spans="1:5" x14ac:dyDescent="0.25">
      <c r="A17">
        <v>14</v>
      </c>
      <c r="B17" s="3">
        <v>15</v>
      </c>
      <c r="C17" s="3">
        <v>0</v>
      </c>
      <c r="D17" s="3">
        <v>0</v>
      </c>
      <c r="E17" t="s">
        <v>82</v>
      </c>
    </row>
    <row r="18" spans="1:5" x14ac:dyDescent="0.25">
      <c r="A18">
        <v>15</v>
      </c>
      <c r="B18" s="3">
        <v>15</v>
      </c>
      <c r="C18" s="3">
        <v>1</v>
      </c>
      <c r="D18" s="3">
        <v>0</v>
      </c>
      <c r="E18" t="s">
        <v>82</v>
      </c>
    </row>
    <row r="19" spans="1:5" x14ac:dyDescent="0.25">
      <c r="A19">
        <v>16</v>
      </c>
      <c r="B19" s="3">
        <v>15</v>
      </c>
      <c r="C19" s="3">
        <v>0</v>
      </c>
      <c r="D19" s="3">
        <v>0</v>
      </c>
      <c r="E19" t="s">
        <v>82</v>
      </c>
    </row>
    <row r="20" spans="1:5" x14ac:dyDescent="0.25">
      <c r="A20">
        <v>17</v>
      </c>
      <c r="B20" s="3">
        <v>15</v>
      </c>
      <c r="C20" s="3">
        <v>0</v>
      </c>
      <c r="D20" s="3">
        <v>0</v>
      </c>
      <c r="E20" t="s">
        <v>82</v>
      </c>
    </row>
    <row r="21" spans="1:5" x14ac:dyDescent="0.25">
      <c r="A21">
        <v>18</v>
      </c>
      <c r="B21" s="3">
        <v>15</v>
      </c>
      <c r="C21" s="3">
        <v>0</v>
      </c>
      <c r="D21" s="3">
        <v>0</v>
      </c>
      <c r="E21" t="s">
        <v>82</v>
      </c>
    </row>
    <row r="22" spans="1:5" x14ac:dyDescent="0.25">
      <c r="A22">
        <v>19</v>
      </c>
      <c r="B22" s="3">
        <v>15</v>
      </c>
      <c r="C22" s="3">
        <v>0</v>
      </c>
      <c r="D22" s="3">
        <v>0</v>
      </c>
      <c r="E22" t="s">
        <v>82</v>
      </c>
    </row>
    <row r="23" spans="1:5" x14ac:dyDescent="0.25">
      <c r="A23" s="5">
        <v>20</v>
      </c>
      <c r="B23" s="6">
        <v>100</v>
      </c>
      <c r="C23" s="6">
        <v>5</v>
      </c>
      <c r="D23" s="6">
        <v>5</v>
      </c>
      <c r="E23" s="5" t="s">
        <v>91</v>
      </c>
    </row>
    <row r="24" spans="1:5" x14ac:dyDescent="0.25">
      <c r="A24">
        <v>21</v>
      </c>
      <c r="B24" s="3">
        <v>20</v>
      </c>
      <c r="C24" s="3">
        <v>0</v>
      </c>
      <c r="D24" s="3">
        <v>0</v>
      </c>
      <c r="E24" t="s">
        <v>82</v>
      </c>
    </row>
    <row r="25" spans="1:5" x14ac:dyDescent="0.25">
      <c r="A25">
        <v>22</v>
      </c>
      <c r="B25" s="3">
        <v>20</v>
      </c>
      <c r="C25" s="3">
        <v>0</v>
      </c>
      <c r="D25" s="3">
        <v>0</v>
      </c>
      <c r="E25" t="s">
        <v>82</v>
      </c>
    </row>
    <row r="26" spans="1:5" x14ac:dyDescent="0.25">
      <c r="A26">
        <v>23</v>
      </c>
      <c r="B26" s="3">
        <v>20</v>
      </c>
      <c r="C26" s="3">
        <v>0</v>
      </c>
      <c r="D26" s="3">
        <v>0</v>
      </c>
      <c r="E26" t="s">
        <v>82</v>
      </c>
    </row>
    <row r="27" spans="1:5" x14ac:dyDescent="0.25">
      <c r="A27">
        <v>24</v>
      </c>
      <c r="B27" s="3">
        <v>20</v>
      </c>
      <c r="C27" s="3">
        <v>0</v>
      </c>
      <c r="D27" s="3">
        <v>0</v>
      </c>
      <c r="E27" t="s">
        <v>82</v>
      </c>
    </row>
    <row r="28" spans="1:5" x14ac:dyDescent="0.25">
      <c r="A28">
        <v>25</v>
      </c>
      <c r="B28" s="3">
        <v>20</v>
      </c>
      <c r="C28" s="3">
        <v>1</v>
      </c>
      <c r="D28" s="3">
        <v>0</v>
      </c>
      <c r="E28" t="s">
        <v>82</v>
      </c>
    </row>
    <row r="29" spans="1:5" x14ac:dyDescent="0.25">
      <c r="A29">
        <v>26</v>
      </c>
      <c r="B29" s="3">
        <v>20</v>
      </c>
      <c r="C29" s="3">
        <v>0</v>
      </c>
      <c r="D29" s="3">
        <v>0</v>
      </c>
      <c r="E29" t="s">
        <v>82</v>
      </c>
    </row>
    <row r="30" spans="1:5" x14ac:dyDescent="0.25">
      <c r="A30">
        <v>27</v>
      </c>
      <c r="B30" s="3">
        <v>20</v>
      </c>
      <c r="C30" s="3">
        <v>0</v>
      </c>
      <c r="D30" s="3">
        <v>0</v>
      </c>
      <c r="E30" t="s">
        <v>82</v>
      </c>
    </row>
    <row r="31" spans="1:5" x14ac:dyDescent="0.25">
      <c r="A31">
        <v>28</v>
      </c>
      <c r="B31" s="3">
        <v>20</v>
      </c>
      <c r="C31" s="3">
        <v>0</v>
      </c>
      <c r="D31" s="3">
        <v>0</v>
      </c>
      <c r="E31" t="s">
        <v>82</v>
      </c>
    </row>
    <row r="32" spans="1:5" x14ac:dyDescent="0.25">
      <c r="A32">
        <v>29</v>
      </c>
      <c r="B32" s="3">
        <v>20</v>
      </c>
      <c r="C32" s="3">
        <v>0</v>
      </c>
      <c r="D32" s="3">
        <v>0</v>
      </c>
      <c r="E32" t="s">
        <v>82</v>
      </c>
    </row>
    <row r="33" spans="1:5" x14ac:dyDescent="0.25">
      <c r="A33" s="5">
        <v>30</v>
      </c>
      <c r="B33" s="6">
        <v>200</v>
      </c>
      <c r="C33" s="6">
        <v>8</v>
      </c>
      <c r="D33" s="6">
        <v>8</v>
      </c>
      <c r="E33" s="5" t="s">
        <v>91</v>
      </c>
    </row>
    <row r="35" spans="1:5" s="4" customFormat="1" x14ac:dyDescent="0.25">
      <c r="A35" s="4" t="s">
        <v>92</v>
      </c>
      <c r="B35" s="4">
        <f>SUM(B4:B33)</f>
      </c>
      <c r="C35" s="4">
        <f>SUM(C4:C33)</f>
      </c>
      <c r="D35" s="4">
        <f>SUM(D4:D33)</f>
      </c>
      <c r="E35" s="4" t="s">
        <v>82</v>
      </c>
    </row>
    <row r="36" spans="1:5" s="4" customFormat="1" x14ac:dyDescent="0.25">
      <c r="A36" s="4" t="s">
        <v>93</v>
      </c>
      <c r="B36" s="4">
        <f>AVERAGE(B4:B33)</f>
      </c>
      <c r="C36" s="4" t="s">
        <v>82</v>
      </c>
      <c r="D36" s="4" t="s">
        <v>82</v>
      </c>
      <c r="E36" s="4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FormatPr defaultRowHeight="15" outlineLevelRow="0" outlineLevelCol="0" x14ac:dyDescent="55"/>
  <cols>
    <col min="1" max="1" width="32" customWidth="1"/>
    <col min="2" max="2" width="14" customWidth="1"/>
  </cols>
  <sheetData>
    <row r="1" spans="1:1" s="1" customFormat="1" x14ac:dyDescent="0.25">
      <c r="A1" s="1" t="s">
        <v>94</v>
      </c>
    </row>
    <row r="3" ht="28" customHeight="1" spans="1:2" x14ac:dyDescent="0.25">
      <c r="A3" s="2" t="s">
        <v>95</v>
      </c>
      <c r="B3" s="2" t="s">
        <v>96</v>
      </c>
    </row>
    <row r="4" spans="1:2" x14ac:dyDescent="0.25">
      <c r="A4" t="s">
        <v>97</v>
      </c>
      <c r="B4" s="3">
        <v>0</v>
      </c>
    </row>
    <row r="5" spans="1:2" x14ac:dyDescent="0.25">
      <c r="A5" t="s">
        <v>98</v>
      </c>
      <c r="B5" s="3">
        <v>895</v>
      </c>
    </row>
    <row r="6" spans="1:2" x14ac:dyDescent="0.25">
      <c r="A6" t="s">
        <v>99</v>
      </c>
      <c r="B6" s="3">
        <v>1195</v>
      </c>
    </row>
    <row r="7" spans="1:2" x14ac:dyDescent="0.25">
      <c r="A7" t="s">
        <v>100</v>
      </c>
      <c r="B7" s="3">
        <v>1490</v>
      </c>
    </row>
    <row r="8" spans="1:2" x14ac:dyDescent="0.25">
      <c r="A8" t="s">
        <v>101</v>
      </c>
      <c r="B8" s="3">
        <v>1910</v>
      </c>
    </row>
    <row r="9" spans="1:2" x14ac:dyDescent="0.25">
      <c r="A9" t="s">
        <v>102</v>
      </c>
      <c r="B9" s="3">
        <v>1670</v>
      </c>
    </row>
    <row r="10" spans="1:2" x14ac:dyDescent="0.25">
      <c r="A10" t="s">
        <v>103</v>
      </c>
      <c r="B10" s="3">
        <v>1550</v>
      </c>
    </row>
    <row r="11" spans="1:2" x14ac:dyDescent="0.25">
      <c r="A11" t="s">
        <v>104</v>
      </c>
      <c r="B11" s="3">
        <v>1790</v>
      </c>
    </row>
    <row r="12" spans="1:2" x14ac:dyDescent="0.25">
      <c r="A12" t="s">
        <v>105</v>
      </c>
      <c r="B12" s="3">
        <v>1730</v>
      </c>
    </row>
    <row r="13" spans="1:2" x14ac:dyDescent="0.25">
      <c r="A13" t="s">
        <v>106</v>
      </c>
      <c r="B13" s="3">
        <v>1610</v>
      </c>
    </row>
    <row r="14" spans="1:2" x14ac:dyDescent="0.25">
      <c r="A14" t="s">
        <v>107</v>
      </c>
      <c r="B14" s="3">
        <v>2265</v>
      </c>
    </row>
    <row r="15" spans="1:2" x14ac:dyDescent="0.25">
      <c r="A15" t="s">
        <v>108</v>
      </c>
      <c r="B15" s="3">
        <v>1850</v>
      </c>
    </row>
    <row r="16" spans="1:2" s="4" customFormat="1" x14ac:dyDescent="0.25">
      <c r="A16" s="4" t="s">
        <v>109</v>
      </c>
      <c r="B16" s="4">
        <f>SUMIF(B4:B15,"&gt;0")</f>
      </c>
    </row>
    <row r="18" ht="28" customHeight="1" spans="1:2" x14ac:dyDescent="0.25">
      <c r="A18" s="2" t="s">
        <v>110</v>
      </c>
      <c r="B18" s="2" t="s">
        <v>96</v>
      </c>
    </row>
    <row r="19" spans="1:2" x14ac:dyDescent="0.25">
      <c r="A19" t="s">
        <v>111</v>
      </c>
      <c r="B19" s="3">
        <v>0</v>
      </c>
    </row>
    <row r="20" spans="1:2" x14ac:dyDescent="0.25">
      <c r="A20" t="s">
        <v>112</v>
      </c>
      <c r="B20" s="3">
        <v>1195</v>
      </c>
    </row>
    <row r="21" spans="1:2" x14ac:dyDescent="0.25">
      <c r="A21" t="s">
        <v>113</v>
      </c>
      <c r="B21" s="3">
        <v>1790</v>
      </c>
    </row>
    <row r="22" spans="1:2" x14ac:dyDescent="0.25">
      <c r="A22" t="s">
        <v>114</v>
      </c>
      <c r="B22" s="3">
        <v>1670</v>
      </c>
    </row>
    <row r="23" spans="1:2" x14ac:dyDescent="0.25">
      <c r="A23" t="s">
        <v>115</v>
      </c>
      <c r="B23" s="3">
        <v>1550</v>
      </c>
    </row>
    <row r="24" spans="1:2" x14ac:dyDescent="0.25">
      <c r="A24" t="s">
        <v>116</v>
      </c>
      <c r="B24" s="3">
        <v>1315</v>
      </c>
    </row>
    <row r="25" spans="1:2" x14ac:dyDescent="0.25">
      <c r="A25" t="s">
        <v>117</v>
      </c>
      <c r="B25" s="3">
        <v>1790</v>
      </c>
    </row>
    <row r="26" spans="1:2" x14ac:dyDescent="0.25">
      <c r="A26" t="s">
        <v>118</v>
      </c>
      <c r="B26" s="3">
        <v>1550</v>
      </c>
    </row>
    <row r="27" spans="1:2" x14ac:dyDescent="0.25">
      <c r="A27" t="s">
        <v>119</v>
      </c>
      <c r="B27" s="3">
        <v>2150</v>
      </c>
    </row>
    <row r="28" spans="1:2" x14ac:dyDescent="0.25">
      <c r="A28" t="s">
        <v>120</v>
      </c>
      <c r="B28" s="3">
        <v>1430</v>
      </c>
    </row>
    <row r="29" spans="1:2" x14ac:dyDescent="0.25">
      <c r="A29" t="s">
        <v>121</v>
      </c>
      <c r="B29" s="3">
        <v>1195</v>
      </c>
    </row>
    <row r="30" spans="1:2" s="4" customFormat="1" x14ac:dyDescent="0.25">
      <c r="A30" s="4" t="s">
        <v>109</v>
      </c>
      <c r="B30" s="4">
        <f>SUMIF(B19:B29,"&gt;0")</f>
      </c>
    </row>
    <row r="32" ht="28" customHeight="1" spans="1:2" x14ac:dyDescent="0.25">
      <c r="A32" s="2" t="s">
        <v>122</v>
      </c>
      <c r="B32" s="2" t="s">
        <v>123</v>
      </c>
    </row>
    <row r="33" spans="1:2" x14ac:dyDescent="0.25">
      <c r="A33" t="s">
        <v>124</v>
      </c>
      <c r="B33" s="3">
        <v>5</v>
      </c>
    </row>
    <row r="34" spans="1:2" x14ac:dyDescent="0.25">
      <c r="A34" t="s">
        <v>125</v>
      </c>
      <c r="B34" s="3">
        <v>100</v>
      </c>
    </row>
    <row r="35" spans="1:2" x14ac:dyDescent="0.25">
      <c r="A35" t="s">
        <v>126</v>
      </c>
      <c r="B35">
        <f>B34/B33</f>
      </c>
    </row>
    <row r="37" spans="1:2" s="7" customFormat="1" x14ac:dyDescent="0.25">
      <c r="A37" s="7" t="s">
        <v>127</v>
      </c>
      <c r="B37" s="7">
        <f>B16+B30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40" customWidth="1"/>
    <col min="2" max="2" width="16" customWidth="1"/>
    <col min="3" max="3" width="12" customWidth="1"/>
    <col min="4" max="4" width="10" customWidth="1"/>
    <col min="5" max="5" width="46" customWidth="1"/>
  </cols>
  <sheetData>
    <row r="1" spans="1:1" s="1" customFormat="1" x14ac:dyDescent="0.25">
      <c r="A1" s="1" t="s">
        <v>128</v>
      </c>
    </row>
    <row r="3" ht="28" customHeight="1" spans="1:5" x14ac:dyDescent="0.25">
      <c r="A3" s="2" t="s">
        <v>129</v>
      </c>
      <c r="B3" s="2" t="s">
        <v>130</v>
      </c>
      <c r="C3" s="2" t="s">
        <v>131</v>
      </c>
      <c r="D3" s="2" t="s">
        <v>132</v>
      </c>
      <c r="E3" s="2" t="s">
        <v>133</v>
      </c>
    </row>
    <row r="4" spans="1:5" x14ac:dyDescent="0.25">
      <c r="A4" t="s">
        <v>134</v>
      </c>
      <c r="B4" t="s">
        <v>135</v>
      </c>
      <c r="C4" s="3">
        <v>5</v>
      </c>
      <c r="D4" s="3">
        <v>5</v>
      </c>
      <c r="E4" t="s">
        <v>136</v>
      </c>
    </row>
    <row r="5" spans="1:5" x14ac:dyDescent="0.25">
      <c r="A5" t="s">
        <v>137</v>
      </c>
      <c r="B5" t="s">
        <v>138</v>
      </c>
      <c r="C5" s="3">
        <v>1</v>
      </c>
      <c r="D5" s="3">
        <v>1</v>
      </c>
      <c r="E5" t="s">
        <v>139</v>
      </c>
    </row>
    <row r="6" spans="1:5" x14ac:dyDescent="0.25">
      <c r="A6" t="s">
        <v>140</v>
      </c>
      <c r="B6" t="s">
        <v>138</v>
      </c>
      <c r="C6" s="3">
        <v>1</v>
      </c>
      <c r="D6" s="3">
        <v>0</v>
      </c>
      <c r="E6" t="s">
        <v>82</v>
      </c>
    </row>
    <row r="7" spans="1:5" x14ac:dyDescent="0.25">
      <c r="A7" t="s">
        <v>141</v>
      </c>
      <c r="B7" t="s">
        <v>138</v>
      </c>
      <c r="C7" s="3">
        <v>1</v>
      </c>
      <c r="D7" s="3">
        <v>1</v>
      </c>
      <c r="E7" t="s">
        <v>82</v>
      </c>
    </row>
    <row r="8" spans="1:5" x14ac:dyDescent="0.25">
      <c r="A8" t="s">
        <v>142</v>
      </c>
      <c r="B8" t="s">
        <v>138</v>
      </c>
      <c r="C8" s="3">
        <v>1</v>
      </c>
      <c r="D8" s="3">
        <v>0</v>
      </c>
      <c r="E8" t="s">
        <v>143</v>
      </c>
    </row>
    <row r="9" spans="1:5" x14ac:dyDescent="0.25">
      <c r="A9" t="s">
        <v>144</v>
      </c>
      <c r="B9" t="s">
        <v>138</v>
      </c>
      <c r="C9" s="3">
        <v>3</v>
      </c>
      <c r="D9" s="3">
        <v>3</v>
      </c>
      <c r="E9" t="s">
        <v>82</v>
      </c>
    </row>
    <row r="10" spans="1:5" x14ac:dyDescent="0.25">
      <c r="A10" t="s">
        <v>145</v>
      </c>
      <c r="B10" t="s">
        <v>138</v>
      </c>
      <c r="C10" s="3">
        <v>5</v>
      </c>
      <c r="D10" s="3">
        <v>5</v>
      </c>
      <c r="E10" t="s">
        <v>82</v>
      </c>
    </row>
    <row r="11" spans="1:5" x14ac:dyDescent="0.25">
      <c r="A11" t="s">
        <v>146</v>
      </c>
      <c r="B11" t="s">
        <v>138</v>
      </c>
      <c r="C11" s="3">
        <v>8</v>
      </c>
      <c r="D11" s="3">
        <v>8</v>
      </c>
      <c r="E11" t="s">
        <v>82</v>
      </c>
    </row>
    <row r="12" spans="1:5" x14ac:dyDescent="0.25">
      <c r="A12" t="s">
        <v>147</v>
      </c>
      <c r="B12" t="s">
        <v>148</v>
      </c>
      <c r="C12" s="3">
        <v>5</v>
      </c>
      <c r="D12" s="3">
        <v>5</v>
      </c>
      <c r="E12" t="s">
        <v>149</v>
      </c>
    </row>
    <row r="13" spans="1:5" x14ac:dyDescent="0.25">
      <c r="A13" t="s">
        <v>150</v>
      </c>
      <c r="B13" t="s">
        <v>151</v>
      </c>
      <c r="C13" s="3">
        <v>-1</v>
      </c>
      <c r="D13" s="3">
        <v>0</v>
      </c>
      <c r="E13" t="s">
        <v>152</v>
      </c>
    </row>
    <row r="14" spans="1:5" x14ac:dyDescent="0.25">
      <c r="A14" t="s">
        <v>153</v>
      </c>
      <c r="B14" t="s">
        <v>151</v>
      </c>
      <c r="C14" s="3">
        <v>0</v>
      </c>
      <c r="D14" s="3">
        <v>-1</v>
      </c>
      <c r="E14" t="s">
        <v>154</v>
      </c>
    </row>
    <row r="16" spans="1:5" s="4" customFormat="1" x14ac:dyDescent="0.25">
      <c r="A16" s="4" t="s">
        <v>155</v>
      </c>
      <c r="B16" s="4" t="s">
        <v>82</v>
      </c>
      <c r="C16" s="4">
        <f>C6+C7+3*C8+C9+C10+C11+C12</f>
      </c>
      <c r="D16" s="4">
        <f>D6+D7+3*D8+D9+D10+D11+D12</f>
      </c>
      <c r="E16" s="4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cols>
    <col min="1" max="1" width="55" customWidth="1"/>
    <col min="2" max="2" width="14" style="8" customWidth="1"/>
    <col min="3" max="3" width="60" customWidth="1"/>
  </cols>
  <sheetData>
    <row r="1" spans="1:2" s="1" customFormat="1" x14ac:dyDescent="0.25">
      <c r="A1" s="1" t="s">
        <v>157</v>
      </c>
      <c r="B1" s="9"/>
    </row>
    <row r="3" ht="28" customHeight="1" spans="1:3" x14ac:dyDescent="0.25">
      <c r="A3" s="2" t="s">
        <v>158</v>
      </c>
      <c r="B3" s="10" t="s">
        <v>123</v>
      </c>
      <c r="C3" s="2" t="s">
        <v>133</v>
      </c>
    </row>
    <row r="4" spans="1:3" x14ac:dyDescent="0.25">
      <c r="A4" t="s">
        <v>159</v>
      </c>
      <c r="B4" s="8">
        <f>'1. Level Income (Nguồn)'!K53</f>
      </c>
      <c r="C4" t="s">
        <v>160</v>
      </c>
    </row>
    <row r="5" spans="1:3" x14ac:dyDescent="0.25">
      <c r="A5" t="s">
        <v>161</v>
      </c>
      <c r="B5" s="8">
        <f>'1. Level Income (Nguồn)'!L53</f>
      </c>
      <c r="C5" t="s">
        <v>162</v>
      </c>
    </row>
    <row r="6" spans="1:3" x14ac:dyDescent="0.25">
      <c r="A6" t="s">
        <v>163</v>
      </c>
      <c r="B6" s="8">
        <f>'2. Daily Quest (Nguồn)'!D12</f>
      </c>
      <c r="C6" t="s">
        <v>82</v>
      </c>
    </row>
    <row r="7" spans="1:3" x14ac:dyDescent="0.25">
      <c r="A7" t="s">
        <v>164</v>
      </c>
      <c r="B7" s="8">
        <f>'3. Check-in 30 ngày (Nguồn)'!B36</f>
      </c>
      <c r="C7" t="s">
        <v>82</v>
      </c>
    </row>
    <row r="8" spans="1:3" x14ac:dyDescent="0.25">
      <c r="A8" t="s">
        <v>165</v>
      </c>
      <c r="B8" s="8">
        <f>B6+B7</f>
      </c>
      <c r="C8" t="s">
        <v>82</v>
      </c>
    </row>
    <row r="9" spans="1:3" x14ac:dyDescent="0.25">
      <c r="A9" t="s">
        <v>166</v>
      </c>
      <c r="B9" s="8">
        <f>B6+B7+'2. Daily Quest (Nguồn)'!D19</f>
      </c>
      <c r="C9" t="s">
        <v>167</v>
      </c>
    </row>
    <row r="10" spans="1:3" x14ac:dyDescent="0.25">
      <c r="A10" t="s">
        <v>168</v>
      </c>
      <c r="B10" s="8">
        <f>'4. Shop (Sink)'!B5</f>
      </c>
      <c r="C10" t="s">
        <v>82</v>
      </c>
    </row>
    <row r="11" spans="1:3" x14ac:dyDescent="0.25">
      <c r="A11" t="s">
        <v>169</v>
      </c>
      <c r="B11" s="8">
        <f>B10/B8</f>
      </c>
      <c r="C11" t="s">
        <v>82</v>
      </c>
    </row>
    <row r="12" spans="1:3" x14ac:dyDescent="0.25">
      <c r="A12" t="s">
        <v>170</v>
      </c>
      <c r="B12" s="8">
        <f>'4. Shop (Sink)'!B37</f>
      </c>
      <c r="C12" t="s">
        <v>82</v>
      </c>
    </row>
    <row r="13" spans="1:3" x14ac:dyDescent="0.25">
      <c r="A13" t="s">
        <v>171</v>
      </c>
      <c r="B13" s="8">
        <f>B12/B8</f>
      </c>
      <c r="C13" t="s">
        <v>172</v>
      </c>
    </row>
    <row r="14" spans="1:3" x14ac:dyDescent="0.25">
      <c r="A14" t="s">
        <v>173</v>
      </c>
      <c r="B14" s="8">
        <f>IF(B5&gt;=B10,"ĐỦ","THIẾU")</f>
      </c>
      <c r="C14" t="s">
        <v>82</v>
      </c>
    </row>
    <row r="16" spans="1:1" s="11" customFormat="1" x14ac:dyDescent="0.25">
      <c r="A16" s="11" t="s">
        <v>174</v>
      </c>
    </row>
    <row r="17" ht="46" customHeight="1" spans="1:3" x14ac:dyDescent="0.25">
      <c r="A17" s="12" t="s">
        <v>175</v>
      </c>
      <c r="B17" s="12"/>
      <c r="C17" s="12"/>
    </row>
    <row r="18" ht="46" customHeight="1" spans="1:3" x14ac:dyDescent="0.25">
      <c r="A18" s="12" t="s">
        <v>176</v>
      </c>
      <c r="B18" s="12"/>
      <c r="C18" s="12"/>
    </row>
    <row r="19" ht="46" customHeight="1" spans="1:3" x14ac:dyDescent="0.25">
      <c r="A19" s="12" t="s">
        <v>177</v>
      </c>
      <c r="B19" s="12"/>
      <c r="C19" s="12"/>
    </row>
    <row r="20" ht="46" customHeight="1" spans="1:3" x14ac:dyDescent="0.25">
      <c r="A20" s="12" t="s">
        <v>178</v>
      </c>
      <c r="B20" s="12"/>
      <c r="C20" s="12"/>
    </row>
    <row r="21" ht="46" customHeight="1" spans="1:3" x14ac:dyDescent="0.25">
      <c r="A21" s="12" t="s">
        <v>179</v>
      </c>
      <c r="B21" s="12"/>
      <c r="C21" s="12"/>
    </row>
    <row r="22" ht="46" customHeight="1" spans="1:3" x14ac:dyDescent="0.25">
      <c r="A22" s="12" t="s">
        <v>180</v>
      </c>
      <c r="B22" s="12"/>
      <c r="C22" s="12"/>
    </row>
  </sheetData>
  <mergeCells count="6">
    <mergeCell ref="A17:C17"/>
    <mergeCell ref="A18:C18"/>
    <mergeCell ref="A19:C19"/>
    <mergeCell ref="A20:C20"/>
    <mergeCell ref="A21:C21"/>
    <mergeCell ref="A22:C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Level Income (Nguồn)</vt:lpstr>
      <vt:lpstr>2. Daily Quest (Nguồn)</vt:lpstr>
      <vt:lpstr>3. Check-in 30 ngày (Nguồn)</vt:lpstr>
      <vt:lpstr>4. Shop (Sink)</vt:lpstr>
      <vt:lpstr>5. Booster (tài nguyên riêng)</vt:lpstr>
      <vt:lpstr>6. Tổng hợp &amp; Cân bằng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2026-09-06T12:27:28Z</dcterms:created>
  <dcterms:modified xsi:type="dcterms:W3CDTF">2026-09-06T12:27:28Z</dcterms:modified>
</cp:coreProperties>
</file>