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17257\OneDrive - VNG Group JSC\Documents\Mahjong x Block\Document\"/>
    </mc:Choice>
  </mc:AlternateContent>
  <xr:revisionPtr revIDLastSave="0" documentId="13_ncr:1_{F44A66A6-A0EE-40D1-B290-94996B34B26E}" xr6:coauthVersionLast="47" xr6:coauthVersionMax="47" xr10:uidLastSave="{00000000-0000-0000-0000-000000000000}"/>
  <bookViews>
    <workbookView xWindow="-110" yWindow="-110" windowWidth="19420" windowHeight="11500" firstSheet="2" activeTab="4" xr2:uid="{44E69D83-4609-458E-AFF5-09A675D2C00A}"/>
  </bookViews>
  <sheets>
    <sheet name="Dashboard" sheetId="1" r:id="rId1"/>
    <sheet name="So sánh" sheetId="2" r:id="rId2"/>
    <sheet name="Shortlist" sheetId="3" r:id="rId3"/>
    <sheet name="Block Data" sheetId="4" r:id="rId4"/>
    <sheet name="Mahjong Data" sheetId="5" r:id="rId5"/>
    <sheet name="Phương pháp" sheetId="6" r:id="rId6"/>
    <sheet name="Tổng hợp Interpre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1" l="1"/>
  <c r="E21" i="1"/>
  <c r="B20" i="1"/>
  <c r="B21" i="1"/>
  <c r="E5" i="1"/>
  <c r="E6" i="1"/>
  <c r="E7" i="1"/>
  <c r="E8" i="1"/>
  <c r="E9" i="1"/>
  <c r="B5" i="1"/>
  <c r="B6" i="1"/>
  <c r="B7" i="1"/>
  <c r="B8" i="1"/>
  <c r="B9" i="1"/>
  <c r="A7" i="3"/>
  <c r="B7" i="3"/>
  <c r="C7" i="3"/>
  <c r="D7" i="3"/>
  <c r="E7" i="3"/>
  <c r="K7" i="3" s="1"/>
  <c r="F7" i="3"/>
  <c r="G7" i="3"/>
  <c r="H7" i="3"/>
  <c r="M7" i="3" s="1"/>
  <c r="I7" i="3"/>
  <c r="L19" i="3" s="1"/>
  <c r="A8" i="3"/>
  <c r="B8" i="3"/>
  <c r="C8" i="3"/>
  <c r="D8" i="3"/>
  <c r="E8" i="3"/>
  <c r="F8" i="3"/>
  <c r="G8" i="3"/>
  <c r="H8" i="3"/>
  <c r="I8" i="3"/>
  <c r="A9" i="3"/>
  <c r="B9" i="3"/>
  <c r="C9" i="3"/>
  <c r="D9" i="3"/>
  <c r="J18" i="3" s="1"/>
  <c r="E9" i="3"/>
  <c r="K9" i="3" s="1"/>
  <c r="F9" i="3"/>
  <c r="G9" i="3"/>
  <c r="H9" i="3"/>
  <c r="I9" i="3"/>
  <c r="A10" i="3"/>
  <c r="B10" i="3"/>
  <c r="C10" i="3"/>
  <c r="D10" i="3"/>
  <c r="E10" i="3"/>
  <c r="K10" i="3" s="1"/>
  <c r="F10" i="3"/>
  <c r="G10" i="3"/>
  <c r="H10" i="3"/>
  <c r="I10" i="3"/>
  <c r="A11" i="3"/>
  <c r="B11" i="3"/>
  <c r="C11" i="3"/>
  <c r="D11" i="3"/>
  <c r="E11" i="3"/>
  <c r="F11" i="3"/>
  <c r="G11" i="3"/>
  <c r="H11" i="3"/>
  <c r="M11" i="3" s="1"/>
  <c r="I11" i="3"/>
  <c r="A12" i="3"/>
  <c r="B12" i="3"/>
  <c r="C12" i="3"/>
  <c r="D12" i="3"/>
  <c r="J12" i="3" s="1"/>
  <c r="E12" i="3"/>
  <c r="K12" i="3" s="1"/>
  <c r="F12" i="3"/>
  <c r="G12" i="3"/>
  <c r="H12" i="3"/>
  <c r="M12" i="3" s="1"/>
  <c r="I12" i="3"/>
  <c r="A13" i="3"/>
  <c r="B13" i="3"/>
  <c r="C13" i="3"/>
  <c r="D13" i="3"/>
  <c r="E13" i="3"/>
  <c r="K13" i="3" s="1"/>
  <c r="F13" i="3"/>
  <c r="G13" i="3"/>
  <c r="H13" i="3"/>
  <c r="M13" i="3" s="1"/>
  <c r="I13" i="3"/>
  <c r="A14" i="3"/>
  <c r="B14" i="3"/>
  <c r="C14" i="3"/>
  <c r="D14" i="3"/>
  <c r="J14" i="3" s="1"/>
  <c r="E14" i="3"/>
  <c r="F14" i="3"/>
  <c r="G14" i="3"/>
  <c r="H14" i="3"/>
  <c r="I14" i="3"/>
  <c r="A15" i="3"/>
  <c r="B15" i="3"/>
  <c r="C15" i="3"/>
  <c r="D15" i="3"/>
  <c r="E15" i="3"/>
  <c r="K15" i="3" s="1"/>
  <c r="F15" i="3"/>
  <c r="G15" i="3"/>
  <c r="H15" i="3"/>
  <c r="M15" i="3" s="1"/>
  <c r="I15" i="3"/>
  <c r="L60" i="3" s="1"/>
  <c r="A16" i="3"/>
  <c r="B16" i="3"/>
  <c r="C16" i="3"/>
  <c r="D16" i="3"/>
  <c r="E16" i="3"/>
  <c r="K16" i="3" s="1"/>
  <c r="F16" i="3"/>
  <c r="G16" i="3"/>
  <c r="H16" i="3"/>
  <c r="M16" i="3" s="1"/>
  <c r="I16" i="3"/>
  <c r="A17" i="3"/>
  <c r="B17" i="3"/>
  <c r="C17" i="3"/>
  <c r="D17" i="3"/>
  <c r="E17" i="3"/>
  <c r="K17" i="3" s="1"/>
  <c r="F17" i="3"/>
  <c r="G17" i="3"/>
  <c r="H17" i="3"/>
  <c r="I17" i="3"/>
  <c r="A18" i="3"/>
  <c r="B18" i="3"/>
  <c r="C18" i="3"/>
  <c r="D18" i="3"/>
  <c r="E18" i="3"/>
  <c r="F18" i="3"/>
  <c r="G18" i="3"/>
  <c r="H18" i="3"/>
  <c r="I18" i="3"/>
  <c r="A19" i="3"/>
  <c r="B19" i="3"/>
  <c r="C19" i="3"/>
  <c r="D19" i="3"/>
  <c r="E19" i="3"/>
  <c r="F19" i="3"/>
  <c r="G19" i="3"/>
  <c r="H19" i="3"/>
  <c r="M19" i="3" s="1"/>
  <c r="I19" i="3"/>
  <c r="A20" i="3"/>
  <c r="B20" i="3"/>
  <c r="C20" i="3"/>
  <c r="D20" i="3"/>
  <c r="E20" i="3"/>
  <c r="K20" i="3" s="1"/>
  <c r="F20" i="3"/>
  <c r="G20" i="3"/>
  <c r="H20" i="3"/>
  <c r="I20" i="3"/>
  <c r="A21" i="3"/>
  <c r="B21" i="3"/>
  <c r="C21" i="3"/>
  <c r="D21" i="3"/>
  <c r="J21" i="3" s="1"/>
  <c r="E21" i="3"/>
  <c r="K21" i="3" s="1"/>
  <c r="F21" i="3"/>
  <c r="G21" i="3"/>
  <c r="H21" i="3"/>
  <c r="M21" i="3" s="1"/>
  <c r="I21" i="3"/>
  <c r="A22" i="3"/>
  <c r="B22" i="3"/>
  <c r="C22" i="3"/>
  <c r="D22" i="3"/>
  <c r="E22" i="3"/>
  <c r="F22" i="3"/>
  <c r="G22" i="3"/>
  <c r="H22" i="3"/>
  <c r="I22" i="3"/>
  <c r="A23" i="3"/>
  <c r="B23" i="3"/>
  <c r="C23" i="3"/>
  <c r="D23" i="3"/>
  <c r="E23" i="3"/>
  <c r="K23" i="3" s="1"/>
  <c r="F23" i="3"/>
  <c r="G23" i="3"/>
  <c r="H23" i="3"/>
  <c r="I23" i="3"/>
  <c r="A24" i="3"/>
  <c r="B24" i="3"/>
  <c r="C24" i="3"/>
  <c r="D24" i="3"/>
  <c r="E24" i="3"/>
  <c r="K24" i="3" s="1"/>
  <c r="F24" i="3"/>
  <c r="G24" i="3"/>
  <c r="H24" i="3"/>
  <c r="M24" i="3" s="1"/>
  <c r="I24" i="3"/>
  <c r="A25" i="3"/>
  <c r="B25" i="3"/>
  <c r="C25" i="3"/>
  <c r="D25" i="3"/>
  <c r="E25" i="3"/>
  <c r="F25" i="3"/>
  <c r="G25" i="3"/>
  <c r="H25" i="3"/>
  <c r="I25" i="3"/>
  <c r="A26" i="3"/>
  <c r="B26" i="3"/>
  <c r="C26" i="3"/>
  <c r="D26" i="3"/>
  <c r="E26" i="3"/>
  <c r="K26" i="3" s="1"/>
  <c r="F26" i="3"/>
  <c r="G26" i="3"/>
  <c r="H26" i="3"/>
  <c r="M26" i="3" s="1"/>
  <c r="I26" i="3"/>
  <c r="A27" i="3"/>
  <c r="B27" i="3"/>
  <c r="C27" i="3"/>
  <c r="D27" i="3"/>
  <c r="E27" i="3"/>
  <c r="F27" i="3"/>
  <c r="G27" i="3"/>
  <c r="H27" i="3"/>
  <c r="I27" i="3"/>
  <c r="A28" i="3"/>
  <c r="B28" i="3"/>
  <c r="C28" i="3"/>
  <c r="D28" i="3"/>
  <c r="E28" i="3"/>
  <c r="F28" i="3"/>
  <c r="G28" i="3"/>
  <c r="H28" i="3"/>
  <c r="I28" i="3"/>
  <c r="A29" i="3"/>
  <c r="B29" i="3"/>
  <c r="C29" i="3"/>
  <c r="D29" i="3"/>
  <c r="J29" i="3" s="1"/>
  <c r="E29" i="3"/>
  <c r="K29" i="3" s="1"/>
  <c r="F29" i="3"/>
  <c r="G29" i="3"/>
  <c r="H29" i="3"/>
  <c r="M29" i="3" s="1"/>
  <c r="I29" i="3"/>
  <c r="A30" i="3"/>
  <c r="B30" i="3"/>
  <c r="C30" i="3"/>
  <c r="D30" i="3"/>
  <c r="E30" i="3"/>
  <c r="F30" i="3"/>
  <c r="G30" i="3"/>
  <c r="H30" i="3"/>
  <c r="I30" i="3"/>
  <c r="A31" i="3"/>
  <c r="B31" i="3"/>
  <c r="C31" i="3"/>
  <c r="D31" i="3"/>
  <c r="J31" i="3" s="1"/>
  <c r="E31" i="3"/>
  <c r="K31" i="3" s="1"/>
  <c r="F31" i="3"/>
  <c r="G31" i="3"/>
  <c r="H31" i="3"/>
  <c r="I31" i="3"/>
  <c r="A32" i="3"/>
  <c r="B32" i="3"/>
  <c r="C32" i="3"/>
  <c r="D32" i="3"/>
  <c r="E32" i="3"/>
  <c r="K32" i="3" s="1"/>
  <c r="F32" i="3"/>
  <c r="G32" i="3"/>
  <c r="H32" i="3"/>
  <c r="M32" i="3" s="1"/>
  <c r="I32" i="3"/>
  <c r="A33" i="3"/>
  <c r="B33" i="3"/>
  <c r="C33" i="3"/>
  <c r="D33" i="3"/>
  <c r="E33" i="3"/>
  <c r="F33" i="3"/>
  <c r="G33" i="3"/>
  <c r="H33" i="3"/>
  <c r="M33" i="3" s="1"/>
  <c r="I33" i="3"/>
  <c r="A34" i="3"/>
  <c r="B34" i="3"/>
  <c r="C34" i="3"/>
  <c r="D34" i="3"/>
  <c r="J34" i="3" s="1"/>
  <c r="E34" i="3"/>
  <c r="K34" i="3" s="1"/>
  <c r="F34" i="3"/>
  <c r="G34" i="3"/>
  <c r="H34" i="3"/>
  <c r="I34" i="3"/>
  <c r="A35" i="3"/>
  <c r="B35" i="3"/>
  <c r="C35" i="3"/>
  <c r="D35" i="3"/>
  <c r="E35" i="3"/>
  <c r="K35" i="3" s="1"/>
  <c r="F35" i="3"/>
  <c r="G35" i="3"/>
  <c r="H35" i="3"/>
  <c r="M35" i="3" s="1"/>
  <c r="I35" i="3"/>
  <c r="A36" i="3"/>
  <c r="B36" i="3"/>
  <c r="C36" i="3"/>
  <c r="D36" i="3"/>
  <c r="E36" i="3"/>
  <c r="F36" i="3"/>
  <c r="G36" i="3"/>
  <c r="H36" i="3"/>
  <c r="I36" i="3"/>
  <c r="A37" i="3"/>
  <c r="B37" i="3"/>
  <c r="C37" i="3"/>
  <c r="D37" i="3"/>
  <c r="J37" i="3" s="1"/>
  <c r="E37" i="3"/>
  <c r="K37" i="3" s="1"/>
  <c r="F37" i="3"/>
  <c r="G37" i="3"/>
  <c r="H37" i="3"/>
  <c r="I37" i="3"/>
  <c r="A38" i="3"/>
  <c r="B38" i="3"/>
  <c r="C38" i="3"/>
  <c r="D38" i="3"/>
  <c r="E38" i="3"/>
  <c r="K38" i="3" s="1"/>
  <c r="F38" i="3"/>
  <c r="G38" i="3"/>
  <c r="H38" i="3"/>
  <c r="M38" i="3" s="1"/>
  <c r="I38" i="3"/>
  <c r="A39" i="3"/>
  <c r="B39" i="3"/>
  <c r="C39" i="3"/>
  <c r="D39" i="3"/>
  <c r="E39" i="3"/>
  <c r="F39" i="3"/>
  <c r="G39" i="3"/>
  <c r="H39" i="3"/>
  <c r="I39" i="3"/>
  <c r="A40" i="3"/>
  <c r="B40" i="3"/>
  <c r="C40" i="3"/>
  <c r="D40" i="3"/>
  <c r="E40" i="3"/>
  <c r="F40" i="3"/>
  <c r="G40" i="3"/>
  <c r="H40" i="3"/>
  <c r="M40" i="3" s="1"/>
  <c r="I40" i="3"/>
  <c r="A41" i="3"/>
  <c r="B41" i="3"/>
  <c r="C41" i="3"/>
  <c r="D41" i="3"/>
  <c r="E41" i="3"/>
  <c r="K41" i="3" s="1"/>
  <c r="F41" i="3"/>
  <c r="G41" i="3"/>
  <c r="H41" i="3"/>
  <c r="M41" i="3" s="1"/>
  <c r="I41" i="3"/>
  <c r="A42" i="3"/>
  <c r="B42" i="3"/>
  <c r="C42" i="3"/>
  <c r="D42" i="3"/>
  <c r="J42" i="3" s="1"/>
  <c r="E42" i="3"/>
  <c r="F42" i="3"/>
  <c r="G42" i="3"/>
  <c r="H42" i="3"/>
  <c r="I42" i="3"/>
  <c r="A43" i="3"/>
  <c r="B43" i="3"/>
  <c r="C43" i="3"/>
  <c r="D43" i="3"/>
  <c r="J43" i="3" s="1"/>
  <c r="E43" i="3"/>
  <c r="K43" i="3" s="1"/>
  <c r="F43" i="3"/>
  <c r="G43" i="3"/>
  <c r="H43" i="3"/>
  <c r="M43" i="3" s="1"/>
  <c r="I43" i="3"/>
  <c r="A44" i="3"/>
  <c r="B44" i="3"/>
  <c r="C44" i="3"/>
  <c r="D44" i="3"/>
  <c r="E44" i="3"/>
  <c r="K44" i="3" s="1"/>
  <c r="F44" i="3"/>
  <c r="G44" i="3"/>
  <c r="H44" i="3"/>
  <c r="M44" i="3" s="1"/>
  <c r="I44" i="3"/>
  <c r="A45" i="3"/>
  <c r="B45" i="3"/>
  <c r="C45" i="3"/>
  <c r="D45" i="3"/>
  <c r="E45" i="3"/>
  <c r="K45" i="3" s="1"/>
  <c r="F45" i="3"/>
  <c r="G45" i="3"/>
  <c r="H45" i="3"/>
  <c r="I45" i="3"/>
  <c r="A46" i="3"/>
  <c r="B46" i="3"/>
  <c r="C46" i="3"/>
  <c r="D46" i="3"/>
  <c r="J46" i="3" s="1"/>
  <c r="E46" i="3"/>
  <c r="K46" i="3" s="1"/>
  <c r="F46" i="3"/>
  <c r="G46" i="3"/>
  <c r="H46" i="3"/>
  <c r="M46" i="3" s="1"/>
  <c r="I46" i="3"/>
  <c r="A47" i="3"/>
  <c r="B47" i="3"/>
  <c r="C47" i="3"/>
  <c r="D47" i="3"/>
  <c r="E47" i="3"/>
  <c r="K47" i="3" s="1"/>
  <c r="F47" i="3"/>
  <c r="G47" i="3"/>
  <c r="H47" i="3"/>
  <c r="M47" i="3" s="1"/>
  <c r="I47" i="3"/>
  <c r="A48" i="3"/>
  <c r="B48" i="3"/>
  <c r="C48" i="3"/>
  <c r="D48" i="3"/>
  <c r="J48" i="3" s="1"/>
  <c r="E48" i="3"/>
  <c r="K48" i="3" s="1"/>
  <c r="F48" i="3"/>
  <c r="G48" i="3"/>
  <c r="H48" i="3"/>
  <c r="I48" i="3"/>
  <c r="A49" i="3"/>
  <c r="B49" i="3"/>
  <c r="C49" i="3"/>
  <c r="D49" i="3"/>
  <c r="E49" i="3"/>
  <c r="K49" i="3" s="1"/>
  <c r="F49" i="3"/>
  <c r="G49" i="3"/>
  <c r="H49" i="3"/>
  <c r="M49" i="3" s="1"/>
  <c r="I49" i="3"/>
  <c r="A50" i="3"/>
  <c r="B50" i="3"/>
  <c r="C50" i="3"/>
  <c r="D50" i="3"/>
  <c r="E50" i="3"/>
  <c r="K50" i="3" s="1"/>
  <c r="F50" i="3"/>
  <c r="G50" i="3"/>
  <c r="H50" i="3"/>
  <c r="M50" i="3" s="1"/>
  <c r="I50" i="3"/>
  <c r="A51" i="3"/>
  <c r="B51" i="3"/>
  <c r="C51" i="3"/>
  <c r="D51" i="3"/>
  <c r="J51" i="3" s="1"/>
  <c r="E51" i="3"/>
  <c r="K51" i="3" s="1"/>
  <c r="F51" i="3"/>
  <c r="G51" i="3"/>
  <c r="H51" i="3"/>
  <c r="I51" i="3"/>
  <c r="A52" i="3"/>
  <c r="B52" i="3"/>
  <c r="C52" i="3"/>
  <c r="D52" i="3"/>
  <c r="E52" i="3"/>
  <c r="F52" i="3"/>
  <c r="G52" i="3"/>
  <c r="H52" i="3"/>
  <c r="I52" i="3"/>
  <c r="A53" i="3"/>
  <c r="B53" i="3"/>
  <c r="C53" i="3"/>
  <c r="D53" i="3"/>
  <c r="E53" i="3"/>
  <c r="F53" i="3"/>
  <c r="G53" i="3"/>
  <c r="H53" i="3"/>
  <c r="M53" i="3" s="1"/>
  <c r="I53" i="3"/>
  <c r="A54" i="3"/>
  <c r="B54" i="3"/>
  <c r="C54" i="3"/>
  <c r="D54" i="3"/>
  <c r="J54" i="3" s="1"/>
  <c r="E54" i="3"/>
  <c r="K54" i="3" s="1"/>
  <c r="F54" i="3"/>
  <c r="G54" i="3"/>
  <c r="H54" i="3"/>
  <c r="M54" i="3" s="1"/>
  <c r="I54" i="3"/>
  <c r="A55" i="3"/>
  <c r="B55" i="3"/>
  <c r="C55" i="3"/>
  <c r="D55" i="3"/>
  <c r="E55" i="3"/>
  <c r="F55" i="3"/>
  <c r="G55" i="3"/>
  <c r="H55" i="3"/>
  <c r="I55" i="3"/>
  <c r="A56" i="3"/>
  <c r="B56" i="3"/>
  <c r="C56" i="3"/>
  <c r="D56" i="3"/>
  <c r="J56" i="3" s="1"/>
  <c r="E56" i="3"/>
  <c r="F56" i="3"/>
  <c r="G56" i="3"/>
  <c r="H56" i="3"/>
  <c r="M56" i="3" s="1"/>
  <c r="I56" i="3"/>
  <c r="A57" i="3"/>
  <c r="B57" i="3"/>
  <c r="C57" i="3"/>
  <c r="D57" i="3"/>
  <c r="E57" i="3"/>
  <c r="F57" i="3"/>
  <c r="G57" i="3"/>
  <c r="H57" i="3"/>
  <c r="M57" i="3" s="1"/>
  <c r="I57" i="3"/>
  <c r="A58" i="3"/>
  <c r="B58" i="3"/>
  <c r="C58" i="3"/>
  <c r="D58" i="3"/>
  <c r="E58" i="3"/>
  <c r="F58" i="3"/>
  <c r="G58" i="3"/>
  <c r="H58" i="3"/>
  <c r="M58" i="3" s="1"/>
  <c r="I58" i="3"/>
  <c r="A59" i="3"/>
  <c r="B59" i="3"/>
  <c r="C59" i="3"/>
  <c r="D59" i="3"/>
  <c r="J59" i="3" s="1"/>
  <c r="E59" i="3"/>
  <c r="K59" i="3" s="1"/>
  <c r="F59" i="3"/>
  <c r="G59" i="3"/>
  <c r="H59" i="3"/>
  <c r="I59" i="3"/>
  <c r="A60" i="3"/>
  <c r="B60" i="3"/>
  <c r="C60" i="3"/>
  <c r="D60" i="3"/>
  <c r="E60" i="3"/>
  <c r="F60" i="3"/>
  <c r="G60" i="3"/>
  <c r="H60" i="3"/>
  <c r="I60" i="3"/>
  <c r="A61" i="3"/>
  <c r="B61" i="3"/>
  <c r="C61" i="3"/>
  <c r="D61" i="3"/>
  <c r="E61" i="3"/>
  <c r="F61" i="3"/>
  <c r="G61" i="3"/>
  <c r="H61" i="3"/>
  <c r="M61" i="3" s="1"/>
  <c r="I61" i="3"/>
  <c r="A62" i="3"/>
  <c r="B62" i="3"/>
  <c r="C62" i="3"/>
  <c r="D62" i="3"/>
  <c r="J62" i="3" s="1"/>
  <c r="E62" i="3"/>
  <c r="K62" i="3" s="1"/>
  <c r="F62" i="3"/>
  <c r="G62" i="3"/>
  <c r="H62" i="3"/>
  <c r="I62" i="3"/>
  <c r="A63" i="3"/>
  <c r="B63" i="3"/>
  <c r="C63" i="3"/>
  <c r="D63" i="3"/>
  <c r="E63" i="3"/>
  <c r="K63" i="3" s="1"/>
  <c r="F63" i="3"/>
  <c r="G63" i="3"/>
  <c r="H63" i="3"/>
  <c r="M63" i="3" s="1"/>
  <c r="I63" i="3"/>
  <c r="A64" i="3"/>
  <c r="B64" i="3"/>
  <c r="C64" i="3"/>
  <c r="D64" i="3"/>
  <c r="E64" i="3"/>
  <c r="F64" i="3"/>
  <c r="G64" i="3"/>
  <c r="H64" i="3"/>
  <c r="I64" i="3"/>
  <c r="A65" i="3"/>
  <c r="B65" i="3"/>
  <c r="C65" i="3"/>
  <c r="D65" i="3"/>
  <c r="E65" i="3"/>
  <c r="K65" i="3" s="1"/>
  <c r="F65" i="3"/>
  <c r="G65" i="3"/>
  <c r="H65" i="3"/>
  <c r="I65" i="3"/>
  <c r="A66" i="3"/>
  <c r="B66" i="3"/>
  <c r="C66" i="3"/>
  <c r="D66" i="3"/>
  <c r="E66" i="3"/>
  <c r="K66" i="3" s="1"/>
  <c r="F66" i="3"/>
  <c r="G66" i="3"/>
  <c r="H66" i="3"/>
  <c r="M66" i="3" s="1"/>
  <c r="I66" i="3"/>
  <c r="A67" i="3"/>
  <c r="B67" i="3"/>
  <c r="C67" i="3"/>
  <c r="D67" i="3"/>
  <c r="E67" i="3"/>
  <c r="F67" i="3"/>
  <c r="G67" i="3"/>
  <c r="H67" i="3"/>
  <c r="I67" i="3"/>
  <c r="A68" i="3"/>
  <c r="B68" i="3"/>
  <c r="C68" i="3"/>
  <c r="D68" i="3"/>
  <c r="E68" i="3"/>
  <c r="F68" i="3"/>
  <c r="G68" i="3"/>
  <c r="H68" i="3"/>
  <c r="M68" i="3" s="1"/>
  <c r="I68" i="3"/>
  <c r="A69" i="3"/>
  <c r="B69" i="3"/>
  <c r="C69" i="3"/>
  <c r="D69" i="3"/>
  <c r="E69" i="3"/>
  <c r="K69" i="3" s="1"/>
  <c r="F69" i="3"/>
  <c r="G69" i="3"/>
  <c r="H69" i="3"/>
  <c r="M69" i="3" s="1"/>
  <c r="I69" i="3"/>
  <c r="A70" i="3"/>
  <c r="B70" i="3"/>
  <c r="C70" i="3"/>
  <c r="D70" i="3"/>
  <c r="J70" i="3" s="1"/>
  <c r="E70" i="3"/>
  <c r="F70" i="3"/>
  <c r="G70" i="3"/>
  <c r="H70" i="3"/>
  <c r="I70" i="3"/>
  <c r="A71" i="3"/>
  <c r="B71" i="3"/>
  <c r="C71" i="3"/>
  <c r="D71" i="3"/>
  <c r="J71" i="3" s="1"/>
  <c r="E71" i="3"/>
  <c r="K71" i="3" s="1"/>
  <c r="F71" i="3"/>
  <c r="G71" i="3"/>
  <c r="H71" i="3"/>
  <c r="M71" i="3" s="1"/>
  <c r="I71" i="3"/>
  <c r="A72" i="3"/>
  <c r="B72" i="3"/>
  <c r="C72" i="3"/>
  <c r="D72" i="3"/>
  <c r="E72" i="3"/>
  <c r="K72" i="3" s="1"/>
  <c r="F72" i="3"/>
  <c r="G72" i="3"/>
  <c r="H72" i="3"/>
  <c r="I72" i="3"/>
  <c r="A73" i="3"/>
  <c r="B73" i="3"/>
  <c r="C73" i="3"/>
  <c r="D73" i="3"/>
  <c r="J73" i="3" s="1"/>
  <c r="E73" i="3"/>
  <c r="K73" i="3" s="1"/>
  <c r="F73" i="3"/>
  <c r="G73" i="3"/>
  <c r="H73" i="3"/>
  <c r="I73" i="3"/>
  <c r="A74" i="3"/>
  <c r="B74" i="3"/>
  <c r="C74" i="3"/>
  <c r="D74" i="3"/>
  <c r="J74" i="3" s="1"/>
  <c r="E74" i="3"/>
  <c r="K74" i="3" s="1"/>
  <c r="F74" i="3"/>
  <c r="G74" i="3"/>
  <c r="H74" i="3"/>
  <c r="M74" i="3" s="1"/>
  <c r="I74" i="3"/>
  <c r="A75" i="3"/>
  <c r="B75" i="3"/>
  <c r="C75" i="3"/>
  <c r="D75" i="3"/>
  <c r="E75" i="3"/>
  <c r="K75" i="3" s="1"/>
  <c r="F75" i="3"/>
  <c r="G75" i="3"/>
  <c r="H75" i="3"/>
  <c r="M75" i="3" s="1"/>
  <c r="I75" i="3"/>
  <c r="A76" i="3"/>
  <c r="B76" i="3"/>
  <c r="C76" i="3"/>
  <c r="D76" i="3"/>
  <c r="J76" i="3" s="1"/>
  <c r="E76" i="3"/>
  <c r="K76" i="3" s="1"/>
  <c r="F76" i="3"/>
  <c r="G76" i="3"/>
  <c r="H76" i="3"/>
  <c r="I76" i="3"/>
  <c r="A77" i="3"/>
  <c r="B77" i="3"/>
  <c r="C77" i="3"/>
  <c r="D77" i="3"/>
  <c r="E77" i="3"/>
  <c r="F77" i="3"/>
  <c r="G77" i="3"/>
  <c r="H77" i="3"/>
  <c r="M77" i="3" s="1"/>
  <c r="I77" i="3"/>
  <c r="A78" i="3"/>
  <c r="B78" i="3"/>
  <c r="C78" i="3"/>
  <c r="D78" i="3"/>
  <c r="E78" i="3"/>
  <c r="F78" i="3"/>
  <c r="G78" i="3"/>
  <c r="H78" i="3"/>
  <c r="M78" i="3" s="1"/>
  <c r="I78" i="3"/>
  <c r="A79" i="3"/>
  <c r="B79" i="3"/>
  <c r="C79" i="3"/>
  <c r="D79" i="3"/>
  <c r="J79" i="3" s="1"/>
  <c r="E79" i="3"/>
  <c r="K79" i="3" s="1"/>
  <c r="F79" i="3"/>
  <c r="G79" i="3"/>
  <c r="H79" i="3"/>
  <c r="I79" i="3"/>
  <c r="K8" i="3"/>
  <c r="M8" i="3"/>
  <c r="M9" i="3"/>
  <c r="M10" i="3"/>
  <c r="K11" i="3"/>
  <c r="K14" i="3"/>
  <c r="M14" i="3"/>
  <c r="J15" i="3"/>
  <c r="M17" i="3"/>
  <c r="K18" i="3"/>
  <c r="M18" i="3"/>
  <c r="K19" i="3"/>
  <c r="M20" i="3"/>
  <c r="K22" i="3"/>
  <c r="M22" i="3"/>
  <c r="M23" i="3"/>
  <c r="J24" i="3"/>
  <c r="K25" i="3"/>
  <c r="M25" i="3"/>
  <c r="K27" i="3"/>
  <c r="M27" i="3"/>
  <c r="J28" i="3"/>
  <c r="K28" i="3"/>
  <c r="M28" i="3"/>
  <c r="K30" i="3"/>
  <c r="M30" i="3"/>
  <c r="M31" i="3"/>
  <c r="K33" i="3"/>
  <c r="M34" i="3"/>
  <c r="K36" i="3"/>
  <c r="M36" i="3"/>
  <c r="M37" i="3"/>
  <c r="K39" i="3"/>
  <c r="M39" i="3"/>
  <c r="K40" i="3"/>
  <c r="L40" i="3"/>
  <c r="K42" i="3"/>
  <c r="M42" i="3"/>
  <c r="J45" i="3"/>
  <c r="M45" i="3"/>
  <c r="M48" i="3"/>
  <c r="J49" i="3"/>
  <c r="M51" i="3"/>
  <c r="K52" i="3"/>
  <c r="M52" i="3"/>
  <c r="K53" i="3"/>
  <c r="K55" i="3"/>
  <c r="M55" i="3"/>
  <c r="K56" i="3"/>
  <c r="K57" i="3"/>
  <c r="K58" i="3"/>
  <c r="M59" i="3"/>
  <c r="K60" i="3"/>
  <c r="M60" i="3"/>
  <c r="J61" i="3"/>
  <c r="K61" i="3"/>
  <c r="M62" i="3"/>
  <c r="K64" i="3"/>
  <c r="M64" i="3"/>
  <c r="J65" i="3"/>
  <c r="M65" i="3"/>
  <c r="K67" i="3"/>
  <c r="M67" i="3"/>
  <c r="K68" i="3"/>
  <c r="L69" i="3"/>
  <c r="K70" i="3"/>
  <c r="M70" i="3"/>
  <c r="M72" i="3"/>
  <c r="L73" i="3"/>
  <c r="M73" i="3"/>
  <c r="M76" i="3"/>
  <c r="K77" i="3"/>
  <c r="L77" i="3"/>
  <c r="K78" i="3"/>
  <c r="M79" i="3"/>
  <c r="F2" i="3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 a="1"/>
  <c r="B13" i="2" s="1"/>
  <c r="C13" i="2" a="1"/>
  <c r="C13" i="2" s="1"/>
  <c r="B14" i="2"/>
  <c r="C14" i="2"/>
  <c r="B15" i="2"/>
  <c r="C15" i="2"/>
  <c r="B16" i="2"/>
  <c r="C16" i="2"/>
  <c r="K2" i="5"/>
  <c r="L2" i="5"/>
  <c r="M2" i="5"/>
  <c r="N2" i="5"/>
  <c r="K3" i="5"/>
  <c r="L3" i="5"/>
  <c r="M3" i="5"/>
  <c r="N3" i="5"/>
  <c r="K4" i="5"/>
  <c r="L4" i="5"/>
  <c r="M4" i="5"/>
  <c r="N4" i="5"/>
  <c r="K5" i="5"/>
  <c r="L5" i="5"/>
  <c r="M5" i="5"/>
  <c r="N5" i="5"/>
  <c r="K6" i="5"/>
  <c r="L6" i="5"/>
  <c r="M6" i="5"/>
  <c r="N6" i="5"/>
  <c r="K7" i="5"/>
  <c r="L7" i="5"/>
  <c r="M7" i="5"/>
  <c r="N7" i="5"/>
  <c r="K8" i="5"/>
  <c r="L8" i="5"/>
  <c r="M8" i="5"/>
  <c r="N8" i="5"/>
  <c r="K9" i="5"/>
  <c r="L9" i="5"/>
  <c r="M9" i="5"/>
  <c r="N9" i="5"/>
  <c r="K10" i="5"/>
  <c r="L10" i="5"/>
  <c r="M10" i="5"/>
  <c r="N10" i="5"/>
  <c r="K11" i="5"/>
  <c r="L11" i="5"/>
  <c r="M11" i="5"/>
  <c r="N11" i="5"/>
  <c r="K12" i="5"/>
  <c r="L12" i="5"/>
  <c r="M12" i="5"/>
  <c r="N12" i="5"/>
  <c r="K13" i="5"/>
  <c r="L13" i="5"/>
  <c r="M13" i="5"/>
  <c r="N13" i="5"/>
  <c r="K14" i="5"/>
  <c r="L14" i="5"/>
  <c r="M14" i="5"/>
  <c r="N14" i="5"/>
  <c r="K15" i="5"/>
  <c r="L15" i="5"/>
  <c r="M15" i="5"/>
  <c r="N15" i="5"/>
  <c r="K16" i="5"/>
  <c r="L16" i="5"/>
  <c r="M16" i="5"/>
  <c r="N16" i="5"/>
  <c r="K17" i="5"/>
  <c r="L17" i="5"/>
  <c r="M17" i="5"/>
  <c r="N17" i="5"/>
  <c r="K18" i="5"/>
  <c r="L18" i="5"/>
  <c r="M18" i="5"/>
  <c r="N18" i="5"/>
  <c r="K19" i="5"/>
  <c r="L19" i="5"/>
  <c r="M19" i="5"/>
  <c r="N19" i="5"/>
  <c r="K20" i="5"/>
  <c r="L20" i="5"/>
  <c r="M20" i="5"/>
  <c r="N20" i="5"/>
  <c r="K21" i="5"/>
  <c r="L21" i="5"/>
  <c r="M21" i="5"/>
  <c r="N21" i="5"/>
  <c r="K22" i="5"/>
  <c r="L22" i="5"/>
  <c r="M22" i="5"/>
  <c r="N22" i="5"/>
  <c r="K23" i="5"/>
  <c r="L23" i="5"/>
  <c r="M23" i="5"/>
  <c r="N23" i="5"/>
  <c r="K24" i="5"/>
  <c r="L24" i="5"/>
  <c r="M24" i="5"/>
  <c r="N24" i="5"/>
  <c r="K25" i="5"/>
  <c r="L25" i="5"/>
  <c r="M25" i="5"/>
  <c r="N25" i="5"/>
  <c r="K2" i="4"/>
  <c r="L2" i="4"/>
  <c r="M2" i="4"/>
  <c r="N2" i="4"/>
  <c r="K3" i="4"/>
  <c r="L3" i="4"/>
  <c r="M3" i="4"/>
  <c r="N3" i="4"/>
  <c r="K4" i="4"/>
  <c r="L4" i="4"/>
  <c r="M4" i="4"/>
  <c r="N4" i="4"/>
  <c r="K5" i="4"/>
  <c r="L5" i="4"/>
  <c r="M5" i="4"/>
  <c r="N5" i="4"/>
  <c r="K6" i="4"/>
  <c r="L6" i="4"/>
  <c r="M6" i="4"/>
  <c r="N6" i="4"/>
  <c r="K7" i="4"/>
  <c r="L7" i="4"/>
  <c r="M7" i="4"/>
  <c r="N7" i="4"/>
  <c r="K8" i="4"/>
  <c r="L8" i="4"/>
  <c r="M8" i="4"/>
  <c r="N8" i="4"/>
  <c r="K9" i="4"/>
  <c r="L9" i="4"/>
  <c r="M9" i="4"/>
  <c r="N9" i="4"/>
  <c r="K10" i="4"/>
  <c r="L10" i="4"/>
  <c r="M10" i="4"/>
  <c r="N10" i="4"/>
  <c r="K11" i="4"/>
  <c r="L11" i="4"/>
  <c r="M11" i="4"/>
  <c r="N11" i="4"/>
  <c r="K12" i="4"/>
  <c r="L12" i="4"/>
  <c r="M12" i="4"/>
  <c r="N12" i="4"/>
  <c r="K13" i="4"/>
  <c r="L13" i="4"/>
  <c r="M13" i="4"/>
  <c r="N13" i="4"/>
  <c r="K14" i="4"/>
  <c r="L14" i="4"/>
  <c r="M14" i="4"/>
  <c r="N14" i="4"/>
  <c r="K15" i="4"/>
  <c r="L15" i="4"/>
  <c r="M15" i="4"/>
  <c r="N15" i="4"/>
  <c r="K16" i="4"/>
  <c r="L16" i="4"/>
  <c r="M16" i="4"/>
  <c r="N16" i="4"/>
  <c r="K17" i="4"/>
  <c r="L17" i="4"/>
  <c r="M17" i="4"/>
  <c r="N17" i="4"/>
  <c r="K18" i="4"/>
  <c r="L18" i="4"/>
  <c r="M18" i="4"/>
  <c r="N18" i="4"/>
  <c r="K19" i="4"/>
  <c r="L19" i="4"/>
  <c r="M19" i="4"/>
  <c r="N19" i="4"/>
  <c r="K20" i="4"/>
  <c r="L20" i="4"/>
  <c r="M20" i="4"/>
  <c r="N20" i="4"/>
  <c r="K21" i="4"/>
  <c r="L21" i="4"/>
  <c r="M21" i="4"/>
  <c r="N21" i="4"/>
  <c r="K22" i="4"/>
  <c r="L22" i="4"/>
  <c r="M22" i="4"/>
  <c r="N22" i="4"/>
  <c r="K23" i="4"/>
  <c r="L23" i="4"/>
  <c r="M23" i="4"/>
  <c r="N23" i="4"/>
  <c r="K24" i="4"/>
  <c r="L24" i="4"/>
  <c r="M24" i="4"/>
  <c r="N24" i="4"/>
  <c r="K25" i="4"/>
  <c r="L25" i="4"/>
  <c r="M25" i="4"/>
  <c r="N25" i="4"/>
  <c r="K26" i="4"/>
  <c r="L26" i="4"/>
  <c r="M26" i="4"/>
  <c r="N26" i="4"/>
  <c r="K27" i="4"/>
  <c r="L27" i="4"/>
  <c r="M27" i="4"/>
  <c r="N27" i="4"/>
  <c r="K28" i="4"/>
  <c r="L28" i="4"/>
  <c r="M28" i="4"/>
  <c r="N28" i="4"/>
  <c r="K29" i="4"/>
  <c r="L29" i="4"/>
  <c r="M29" i="4"/>
  <c r="N29" i="4"/>
  <c r="K30" i="4"/>
  <c r="L30" i="4"/>
  <c r="M30" i="4"/>
  <c r="N30" i="4"/>
  <c r="K31" i="4"/>
  <c r="L31" i="4"/>
  <c r="M31" i="4"/>
  <c r="N31" i="4"/>
  <c r="K32" i="4"/>
  <c r="L32" i="4"/>
  <c r="M32" i="4"/>
  <c r="N32" i="4"/>
  <c r="K33" i="4"/>
  <c r="L33" i="4"/>
  <c r="M33" i="4"/>
  <c r="N33" i="4"/>
  <c r="K34" i="4"/>
  <c r="L34" i="4"/>
  <c r="M34" i="4"/>
  <c r="N34" i="4"/>
  <c r="K35" i="4"/>
  <c r="L35" i="4"/>
  <c r="M35" i="4"/>
  <c r="N35" i="4"/>
  <c r="K36" i="4"/>
  <c r="L36" i="4"/>
  <c r="M36" i="4"/>
  <c r="N36" i="4"/>
  <c r="K37" i="4"/>
  <c r="L37" i="4"/>
  <c r="M37" i="4"/>
  <c r="N37" i="4"/>
  <c r="K38" i="4"/>
  <c r="L38" i="4"/>
  <c r="M38" i="4"/>
  <c r="N38" i="4"/>
  <c r="K39" i="4"/>
  <c r="L39" i="4"/>
  <c r="M39" i="4"/>
  <c r="N39" i="4"/>
  <c r="K40" i="4"/>
  <c r="L40" i="4"/>
  <c r="M40" i="4"/>
  <c r="N40" i="4"/>
  <c r="K41" i="4"/>
  <c r="L41" i="4"/>
  <c r="M41" i="4"/>
  <c r="N41" i="4"/>
  <c r="K42" i="4"/>
  <c r="L42" i="4"/>
  <c r="M42" i="4"/>
  <c r="N42" i="4"/>
  <c r="K43" i="4"/>
  <c r="L43" i="4"/>
  <c r="M43" i="4"/>
  <c r="N43" i="4"/>
  <c r="K44" i="4"/>
  <c r="L44" i="4"/>
  <c r="M44" i="4"/>
  <c r="N44" i="4"/>
  <c r="K45" i="4"/>
  <c r="L45" i="4"/>
  <c r="M45" i="4"/>
  <c r="N45" i="4"/>
  <c r="K46" i="4"/>
  <c r="L46" i="4"/>
  <c r="M46" i="4"/>
  <c r="N46" i="4"/>
  <c r="K47" i="4"/>
  <c r="L47" i="4"/>
  <c r="M47" i="4"/>
  <c r="N47" i="4"/>
  <c r="K48" i="4"/>
  <c r="L48" i="4"/>
  <c r="M48" i="4"/>
  <c r="N48" i="4"/>
  <c r="K49" i="4"/>
  <c r="L49" i="4"/>
  <c r="M49" i="4"/>
  <c r="N49" i="4"/>
  <c r="K50" i="4"/>
  <c r="L50" i="4"/>
  <c r="M50" i="4"/>
  <c r="N50" i="4"/>
  <c r="N73" i="3" l="1"/>
  <c r="N31" i="3"/>
  <c r="N51" i="3"/>
  <c r="N15" i="3"/>
  <c r="N43" i="3"/>
  <c r="N56" i="3"/>
  <c r="N59" i="3"/>
  <c r="N37" i="3"/>
  <c r="N54" i="3"/>
  <c r="N71" i="3"/>
  <c r="N24" i="3"/>
  <c r="L52" i="3"/>
  <c r="J77" i="3"/>
  <c r="N77" i="3" s="1"/>
  <c r="L64" i="3"/>
  <c r="N64" i="3" s="1"/>
  <c r="L48" i="3"/>
  <c r="L31" i="3"/>
  <c r="L9" i="3"/>
  <c r="J68" i="3"/>
  <c r="J36" i="3"/>
  <c r="L18" i="3"/>
  <c r="L76" i="3"/>
  <c r="N76" i="3" s="1"/>
  <c r="J35" i="3"/>
  <c r="N35" i="3" s="1"/>
  <c r="L22" i="3"/>
  <c r="J9" i="3"/>
  <c r="J26" i="3"/>
  <c r="N26" i="3" s="1"/>
  <c r="L67" i="3"/>
  <c r="L55" i="3"/>
  <c r="L79" i="3"/>
  <c r="N79" i="3" s="1"/>
  <c r="L71" i="3"/>
  <c r="L51" i="3"/>
  <c r="J39" i="3"/>
  <c r="N39" i="3" s="1"/>
  <c r="L34" i="3"/>
  <c r="N34" i="3" s="1"/>
  <c r="J22" i="3"/>
  <c r="N22" i="3" s="1"/>
  <c r="J32" i="3"/>
  <c r="J67" i="3"/>
  <c r="L63" i="3"/>
  <c r="J55" i="3"/>
  <c r="L46" i="3"/>
  <c r="N46" i="3" s="1"/>
  <c r="L30" i="3"/>
  <c r="L25" i="3"/>
  <c r="L17" i="3"/>
  <c r="N17" i="3" s="1"/>
  <c r="L12" i="3"/>
  <c r="N12" i="3" s="1"/>
  <c r="L8" i="3"/>
  <c r="J63" i="3"/>
  <c r="J53" i="3"/>
  <c r="J78" i="3"/>
  <c r="J7" i="3"/>
  <c r="N7" i="3" s="1"/>
  <c r="L58" i="3"/>
  <c r="J66" i="3"/>
  <c r="L42" i="3"/>
  <c r="N42" i="3" s="1"/>
  <c r="J30" i="3"/>
  <c r="L21" i="3"/>
  <c r="N21" i="3" s="1"/>
  <c r="J41" i="3"/>
  <c r="L70" i="3"/>
  <c r="N70" i="3" s="1"/>
  <c r="J58" i="3"/>
  <c r="N58" i="3" s="1"/>
  <c r="L54" i="3"/>
  <c r="L37" i="3"/>
  <c r="J72" i="3"/>
  <c r="N72" i="3" s="1"/>
  <c r="L78" i="3"/>
  <c r="L33" i="3"/>
  <c r="N28" i="3"/>
  <c r="L11" i="3"/>
  <c r="L7" i="3"/>
  <c r="J75" i="3"/>
  <c r="N75" i="3" s="1"/>
  <c r="J47" i="3"/>
  <c r="L65" i="3"/>
  <c r="N65" i="3" s="1"/>
  <c r="L61" i="3"/>
  <c r="N61" i="3" s="1"/>
  <c r="L49" i="3"/>
  <c r="N49" i="3" s="1"/>
  <c r="L45" i="3"/>
  <c r="N45" i="3" s="1"/>
  <c r="L28" i="3"/>
  <c r="L24" i="3"/>
  <c r="L15" i="3"/>
  <c r="J50" i="3"/>
  <c r="L57" i="3"/>
  <c r="J33" i="3"/>
  <c r="N33" i="3" s="1"/>
  <c r="J11" i="3"/>
  <c r="N11" i="3" s="1"/>
  <c r="L68" i="3"/>
  <c r="L27" i="3"/>
  <c r="L14" i="3"/>
  <c r="N14" i="3" s="1"/>
  <c r="J20" i="3"/>
  <c r="N20" i="3" s="1"/>
  <c r="L62" i="3"/>
  <c r="N62" i="3" s="1"/>
  <c r="L16" i="3"/>
  <c r="L29" i="3"/>
  <c r="N29" i="3" s="1"/>
  <c r="L35" i="3"/>
  <c r="L56" i="3"/>
  <c r="L59" i="3"/>
  <c r="L13" i="3"/>
  <c r="L23" i="3"/>
  <c r="L26" i="3"/>
  <c r="L32" i="3"/>
  <c r="L38" i="3"/>
  <c r="L41" i="3"/>
  <c r="L44" i="3"/>
  <c r="L47" i="3"/>
  <c r="L50" i="3"/>
  <c r="L53" i="3"/>
  <c r="N53" i="3" s="1"/>
  <c r="L10" i="3"/>
  <c r="N10" i="3" s="1"/>
  <c r="L20" i="3"/>
  <c r="L72" i="3"/>
  <c r="L75" i="3"/>
  <c r="J23" i="3"/>
  <c r="J64" i="3"/>
  <c r="L43" i="3"/>
  <c r="J57" i="3"/>
  <c r="N57" i="3" s="1"/>
  <c r="J17" i="3"/>
  <c r="J52" i="3"/>
  <c r="J60" i="3"/>
  <c r="N60" i="3" s="1"/>
  <c r="N52" i="3"/>
  <c r="L36" i="3"/>
  <c r="J19" i="3"/>
  <c r="N19" i="3" s="1"/>
  <c r="J40" i="3"/>
  <c r="N40" i="3" s="1"/>
  <c r="L39" i="3"/>
  <c r="J27" i="3"/>
  <c r="N27" i="3" s="1"/>
  <c r="J38" i="3"/>
  <c r="J10" i="3"/>
  <c r="L74" i="3"/>
  <c r="N74" i="3" s="1"/>
  <c r="J25" i="3"/>
  <c r="J16" i="3"/>
  <c r="J8" i="3"/>
  <c r="N8" i="3" s="1"/>
  <c r="J69" i="3"/>
  <c r="N69" i="3" s="1"/>
  <c r="J13" i="3"/>
  <c r="N13" i="3" s="1"/>
  <c r="L66" i="3"/>
  <c r="J44" i="3"/>
  <c r="N18" i="3"/>
  <c r="N41" i="3"/>
  <c r="N32" i="3"/>
  <c r="N9" i="3"/>
  <c r="N48" i="3"/>
  <c r="N16" i="3" l="1"/>
  <c r="N47" i="3"/>
  <c r="N63" i="3"/>
  <c r="N30" i="3"/>
  <c r="N25" i="3"/>
  <c r="N55" i="3"/>
  <c r="N66" i="3"/>
  <c r="N67" i="3"/>
  <c r="N38" i="3"/>
  <c r="N36" i="3"/>
  <c r="N23" i="3"/>
  <c r="N50" i="3"/>
  <c r="N78" i="3"/>
  <c r="N68" i="3"/>
  <c r="N44" i="3"/>
  <c r="O61" i="3" l="1"/>
  <c r="O31" i="3"/>
  <c r="O67" i="3"/>
  <c r="O19" i="3"/>
  <c r="O78" i="3"/>
  <c r="O48" i="3"/>
  <c r="O43" i="3"/>
  <c r="O11" i="3"/>
  <c r="O50" i="3"/>
  <c r="O39" i="3"/>
  <c r="O63" i="3"/>
  <c r="O38" i="3"/>
  <c r="O73" i="3"/>
  <c r="O41" i="3"/>
  <c r="O70" i="3"/>
  <c r="O47" i="3"/>
  <c r="O66" i="3"/>
  <c r="O68" i="3"/>
  <c r="O53" i="3"/>
  <c r="O21" i="3"/>
  <c r="O33" i="3"/>
  <c r="O13" i="3"/>
  <c r="O45" i="3"/>
  <c r="O9" i="3"/>
  <c r="O16" i="3"/>
  <c r="O51" i="3"/>
  <c r="O32" i="3"/>
  <c r="O12" i="3"/>
  <c r="O17" i="3"/>
  <c r="O69" i="3"/>
  <c r="O14" i="3"/>
  <c r="O15" i="3"/>
  <c r="O29" i="3"/>
  <c r="O56" i="3"/>
  <c r="O25" i="3"/>
  <c r="O10" i="3"/>
  <c r="O40" i="3"/>
  <c r="O44" i="3"/>
  <c r="O46" i="3"/>
  <c r="O71" i="3"/>
  <c r="O18" i="3"/>
  <c r="O49" i="3"/>
  <c r="O30" i="3"/>
  <c r="O20" i="3"/>
  <c r="O76" i="3"/>
  <c r="O64" i="3"/>
  <c r="O77" i="3"/>
  <c r="O37" i="3"/>
  <c r="O42" i="3"/>
  <c r="O74" i="3"/>
  <c r="O62" i="3"/>
  <c r="O65" i="3"/>
  <c r="O35" i="3"/>
  <c r="O58" i="3"/>
  <c r="O55" i="3"/>
  <c r="O72" i="3"/>
  <c r="O23" i="3"/>
  <c r="O8" i="3"/>
  <c r="O36" i="3"/>
  <c r="O60" i="3"/>
  <c r="O28" i="3"/>
  <c r="O79" i="3"/>
  <c r="O27" i="3"/>
  <c r="O59" i="3"/>
  <c r="O57" i="3"/>
  <c r="O75" i="3"/>
  <c r="O7" i="3"/>
  <c r="O54" i="3"/>
  <c r="O24" i="3"/>
  <c r="O34" i="3"/>
  <c r="O22" i="3"/>
  <c r="O52" i="3"/>
  <c r="O26" i="3"/>
  <c r="B25" i="1" l="1"/>
  <c r="B28" i="1"/>
  <c r="B26" i="1"/>
  <c r="B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<sst xmlns="http://schemas.openxmlformats.org/spreadsheetml/2006/main" count="759" uniqueCount="452">
  <si>
    <t>Trạng thái</t>
  </si>
  <si>
    <t>Game</t>
  </si>
  <si>
    <t>Publisher</t>
  </si>
  <si>
    <t>Downloads</t>
  </si>
  <si>
    <t>DL PoP Δ</t>
  </si>
  <si>
    <t>DL PoP %</t>
  </si>
  <si>
    <t>Revenue</t>
  </si>
  <si>
    <t>Revenue PoP Δ</t>
  </si>
  <si>
    <t>Revenue PoP %</t>
  </si>
  <si>
    <t>Release date</t>
  </si>
  <si>
    <t>Release age</t>
  </si>
  <si>
    <t>Prior downloads</t>
  </si>
  <si>
    <t>Prior revenue</t>
  </si>
  <si>
    <t>Revenue / 1k DL</t>
  </si>
  <si>
    <t>Momentum tag</t>
  </si>
  <si>
    <t>Source file</t>
  </si>
  <si>
    <t>Block Blast!</t>
  </si>
  <si>
    <t>Hungry Studio</t>
  </si>
  <si>
    <t>&gt; 3 years</t>
  </si>
  <si>
    <t>Color Block: Combo Blast</t>
  </si>
  <si>
    <t>Ivy Mobile</t>
  </si>
  <si>
    <t>Block Out! - Color Sort Puzzle</t>
  </si>
  <si>
    <t>Grand Games</t>
  </si>
  <si>
    <t>~ 1 year</t>
  </si>
  <si>
    <t>Block Crush!</t>
  </si>
  <si>
    <t>Wonderful Studio</t>
  </si>
  <si>
    <t>Color Block Jam</t>
  </si>
  <si>
    <t>Rollic Games</t>
  </si>
  <si>
    <t>~ 2 years</t>
  </si>
  <si>
    <t>Block Color Mania, Puzzle Game</t>
  </si>
  <si>
    <t>Guru Puzzle Game</t>
  </si>
  <si>
    <t>Block Puzzle Gem: Jewel Blast</t>
  </si>
  <si>
    <t>Lynn Mobile Puzzle Games</t>
  </si>
  <si>
    <t>Maze Escape: Rolling ball game</t>
  </si>
  <si>
    <t>Fiogonia</t>
  </si>
  <si>
    <t>Block Puzzle</t>
  </si>
  <si>
    <t>LinkDesks</t>
  </si>
  <si>
    <t>Woodoku Blast</t>
  </si>
  <si>
    <t>Tripledot Studios</t>
  </si>
  <si>
    <t>Fusion Blocks - A Puzzle Game</t>
  </si>
  <si>
    <t>Oogway Apps</t>
  </si>
  <si>
    <t>Block Puzzle Classic</t>
  </si>
  <si>
    <t>Sofish</t>
  </si>
  <si>
    <t>Block Blitz: Puzzle Adventure</t>
  </si>
  <si>
    <t>Bluetile Games</t>
  </si>
  <si>
    <t>~ 6 months</t>
  </si>
  <si>
    <t>Color Block Run - Puzzle Game</t>
  </si>
  <si>
    <t>Play2Ever Games</t>
  </si>
  <si>
    <t>Block Puzzle Wood Blast</t>
  </si>
  <si>
    <t>Wood Puzzle Sudoku Games</t>
  </si>
  <si>
    <t>Block-Tok: Puzzle Game</t>
  </si>
  <si>
    <t>NewPubCo</t>
  </si>
  <si>
    <t>~ 3 years</t>
  </si>
  <si>
    <t>Puzzle Game</t>
  </si>
  <si>
    <t>Block Puzzle Games 2018</t>
  </si>
  <si>
    <t>Block Blast Puzzle Mania</t>
  </si>
  <si>
    <t>Bibota</t>
  </si>
  <si>
    <t>Jinbing Wang</t>
  </si>
  <si>
    <t>Block Buster - No Timer</t>
  </si>
  <si>
    <t>Lion Studios</t>
  </si>
  <si>
    <t>Block Blitz: Gems Puzzle</t>
  </si>
  <si>
    <t>Hypergames</t>
  </si>
  <si>
    <t>Block Mania: Block Pop Blast</t>
  </si>
  <si>
    <t>Devio Studio</t>
  </si>
  <si>
    <t>~ 1 month</t>
  </si>
  <si>
    <t>Blockudoku: Block Puzzle Game</t>
  </si>
  <si>
    <t>Easybrain</t>
  </si>
  <si>
    <t>Blockbuster - Games &amp; Social</t>
  </si>
  <si>
    <t>Blockbuster Group</t>
  </si>
  <si>
    <t>Block Blast Quest</t>
  </si>
  <si>
    <t>KetanIreng</t>
  </si>
  <si>
    <t>Wooden Puzzle Bliss</t>
  </si>
  <si>
    <t>Gimica</t>
  </si>
  <si>
    <t>Tangram Heaven</t>
  </si>
  <si>
    <t>Senspark</t>
  </si>
  <si>
    <t>Hex Match</t>
  </si>
  <si>
    <t>Block Puzzle Challenge</t>
  </si>
  <si>
    <t>Adaric Music</t>
  </si>
  <si>
    <t>Tricky Blocks - Block Puzzle</t>
  </si>
  <si>
    <t>Blue Bag Studios</t>
  </si>
  <si>
    <t>Block Puzzle: Combo Mania!</t>
  </si>
  <si>
    <t>Crazy Maple Studio</t>
  </si>
  <si>
    <t>Block Puzzle Brick Blast</t>
  </si>
  <si>
    <t>Hyzap Games</t>
  </si>
  <si>
    <t>Marble Away - Fluffy Escape</t>
  </si>
  <si>
    <t>CONATURE</t>
  </si>
  <si>
    <t>Woodoku - Wood Block Puzzle</t>
  </si>
  <si>
    <t>Blockbuster: Arcade</t>
  </si>
  <si>
    <t>Block Jam Out: No Timer Puzzle</t>
  </si>
  <si>
    <t>Block Puzzle: Stack Infinity</t>
  </si>
  <si>
    <t>XUFENG</t>
  </si>
  <si>
    <t>Wood Block Jam</t>
  </si>
  <si>
    <t>Unico Studio</t>
  </si>
  <si>
    <t>Block Spark: Classic Puzzle</t>
  </si>
  <si>
    <t>2048 Puzzle Fun</t>
  </si>
  <si>
    <t>Block Puzzle - Wood Blast</t>
  </si>
  <si>
    <t>Arcade Game Maker</t>
  </si>
  <si>
    <t>Block Puzzle Relax</t>
  </si>
  <si>
    <t>Triple M Tech</t>
  </si>
  <si>
    <t>Shape Escape: Block Puzzle</t>
  </si>
  <si>
    <t>Block Blast - Top Block Puzzle</t>
  </si>
  <si>
    <t>Matching Games</t>
  </si>
  <si>
    <t>Block Bloom: Color Blast</t>
  </si>
  <si>
    <t>Nebula Studio</t>
  </si>
  <si>
    <t>Fortuna Block Blast</t>
  </si>
  <si>
    <t>UniteGrand Auto</t>
  </si>
  <si>
    <t>Wood Block Puzzle Games</t>
  </si>
  <si>
    <t>Learnings</t>
  </si>
  <si>
    <t>Block Blast: Relaxing Puzzle</t>
  </si>
  <si>
    <t>Digital Payment Tech</t>
  </si>
  <si>
    <t>~ 3 months</t>
  </si>
  <si>
    <t>Block market.txt</t>
  </si>
  <si>
    <t>Vita Mahjong</t>
  </si>
  <si>
    <t>Mahjong Blast</t>
  </si>
  <si>
    <t>Mahjong Master: Daily Match</t>
  </si>
  <si>
    <t>Pandas of Caribbean</t>
  </si>
  <si>
    <t>SoEasy Mahjong: Solitaire</t>
  </si>
  <si>
    <t>Tile Mahjong Classic</t>
  </si>
  <si>
    <t>Mahjong Traveler!</t>
  </si>
  <si>
    <t>Kuyisi Digital</t>
  </si>
  <si>
    <t>Mahjong-Match Puzzle Games</t>
  </si>
  <si>
    <t>GameTree</t>
  </si>
  <si>
    <t>Mahjongscapes - Tile Match</t>
  </si>
  <si>
    <t>PARTYPOP</t>
  </si>
  <si>
    <t>Mahjong Cash Link</t>
  </si>
  <si>
    <t>Jva TTC</t>
  </si>
  <si>
    <t>Mahjong Mingle</t>
  </si>
  <si>
    <t>Playful Bytes</t>
  </si>
  <si>
    <t>Mahjong Slide: Zen</t>
  </si>
  <si>
    <t>Shanghai Mahjongg</t>
  </si>
  <si>
    <t>UniRise Digital</t>
  </si>
  <si>
    <t>Vigor Mahjong</t>
  </si>
  <si>
    <t>CanaryDroid</t>
  </si>
  <si>
    <t>Rich Mahjong Match</t>
  </si>
  <si>
    <t>Mahjong Club - Solitaire Game</t>
  </si>
  <si>
    <t>GamoVation</t>
  </si>
  <si>
    <t>Fun Mahjong Match</t>
  </si>
  <si>
    <t>EWG STUDIO</t>
  </si>
  <si>
    <t>Mahjong Triple - Match 3 Tile</t>
  </si>
  <si>
    <t>Mahjong! Tile Puzzle</t>
  </si>
  <si>
    <t>Mahjong Pair Up</t>
  </si>
  <si>
    <t>summer affica</t>
  </si>
  <si>
    <t>Daily Mahjong Match</t>
  </si>
  <si>
    <t>Big Cake Group</t>
  </si>
  <si>
    <t>Mahjong Vibe</t>
  </si>
  <si>
    <t>Mahjong Crush: Sorting Jam</t>
  </si>
  <si>
    <t>iKame</t>
  </si>
  <si>
    <t>Zen Tiles - Mahjong Match</t>
  </si>
  <si>
    <t>Zen Garden Mahjong</t>
  </si>
  <si>
    <t>AMG DevBM</t>
  </si>
  <si>
    <t>Mahjong market (1).txt</t>
  </si>
  <si>
    <t>SO SÁNH THỊ TRƯỜNG: BLOCK vs MAHJONG</t>
  </si>
  <si>
    <t>Snapshot dựa trên 2 file nguồn; chỉ số PoP giữ nguyên định nghĩa của nguồn.</t>
  </si>
  <si>
    <t>Metric</t>
  </si>
  <si>
    <t>Block</t>
  </si>
  <si>
    <t>Mahjong</t>
  </si>
  <si>
    <t>Cách đọc</t>
  </si>
  <si>
    <t>Số game trong mẫu</t>
  </si>
  <si>
    <t>Quy mô mẫu, không phải toàn thị trường</t>
  </si>
  <si>
    <t>Tổng downloads</t>
  </si>
  <si>
    <t>Tín hiệu quy mô nhu cầu trong snapshot</t>
  </si>
  <si>
    <t>Downloads trung bình/game</t>
  </si>
  <si>
    <t>Nhạy với game dẫn đầu</t>
  </si>
  <si>
    <t>Downloads trung vị/game</t>
  </si>
  <si>
    <t>Đại diện game điển hình tốt hơn average</t>
  </si>
  <si>
    <t>Tổng revenue</t>
  </si>
  <si>
    <t>Cần thận trọng: số 0 có thể là thiếu dữ liệu</t>
  </si>
  <si>
    <t>Revenue / 1.000 downloads</t>
  </si>
  <si>
    <t>Proxy monetization, không phải ARPU</t>
  </si>
  <si>
    <t>Tăng trưởng downloads PoP có trọng số</t>
  </si>
  <si>
    <t>Tổng thay đổi / tổng kỳ trước</t>
  </si>
  <si>
    <t>Tỷ lệ game tăng downloads</t>
  </si>
  <si>
    <t>Độ rộng của momentum</t>
  </si>
  <si>
    <t>Tỷ lệ Accelerating hoặc game mới</t>
  </si>
  <si>
    <t>Game tăng &gt;=20% hoặc chưa có kỳ trước</t>
  </si>
  <si>
    <t>Tập trung downloads Top 5</t>
  </si>
  <si>
    <t>Càng cao càng phụ thuộc vài hit</t>
  </si>
  <si>
    <t>Game phát hành trong 365 ngày</t>
  </si>
  <si>
    <t>Cường độ nguồn cung mới</t>
  </si>
  <si>
    <t>Game #1 theo downloads</t>
  </si>
  <si>
    <t>Leader về reach</t>
  </si>
  <si>
    <t>Game #1 theo revenue</t>
  </si>
  <si>
    <t>Leader về monetization</t>
  </si>
  <si>
    <t>RESEARCH TAKEAWAYS</t>
  </si>
  <si>
    <t>1. Scale</t>
  </si>
  <si>
    <t>Block đạt 50,6M downloads; Mahjong đạt 26,0M.</t>
  </si>
  <si>
    <t>Block cho thấy demand lớn hơn trong mẫu.</t>
  </si>
  <si>
    <t>2. Breadth of momentum</t>
  </si>
  <si>
    <t>Mahjong đang có momentum rộng hơn.</t>
  </si>
  <si>
    <t>3. Monetization proxy</t>
  </si>
  <si>
    <t>Block ~341,8 revenue/1k DL; Mahjong ~37,7.</t>
  </si>
  <si>
    <t>Khoảng cách bị chi phối bởi vài game revenue rất lớn.</t>
  </si>
  <si>
    <t>4. Market concentration</t>
  </si>
  <si>
    <t>Top 5 chiếm ~74,7% downloads Block và ~72,3% Mahjong.</t>
  </si>
  <si>
    <t>Cả hai đều là hit-driven market.</t>
  </si>
  <si>
    <t>5. Hybrid hypothesis</t>
  </si>
  <si>
    <t>Dùng core spatial/block dễ hiểu + fantasy/collection Mahjong.</t>
  </si>
  <si>
    <t>Kết hợp scale của Block với momentum/theme của Mahjong.</t>
  </si>
  <si>
    <t>6. Prototype test</t>
  </si>
  <si>
    <t>So sánh theme Mahjong với theme abstract trên cùng core loop.</t>
  </si>
  <si>
    <t>Theo dõi FTUE, D1/D7, session length, ads và IAP riêng.</t>
  </si>
  <si>
    <t>7. Competitor focus</t>
  </si>
  <si>
    <t>Block Out, Color Block Jam, Mahjong Blast, Vita Mahjong, Mahjong Crush.</t>
  </si>
  <si>
    <t>Review store page, FTUE, fail loop, meta và monetization.</t>
  </si>
  <si>
    <t>Caveat</t>
  </si>
  <si>
    <t>Nguồn không nêu rõ quốc gia, store, kỳ đo, currency; revenue 0 có thể là missing.</t>
  </si>
  <si>
    <t>Không dùng workbook này như market size tuyệt đối.</t>
  </si>
  <si>
    <t>SHORTLIST &amp; OPPORTUNITY SCORING</t>
  </si>
  <si>
    <t>Trọng số</t>
  </si>
  <si>
    <t>Dimension</t>
  </si>
  <si>
    <t>Traction</t>
  </si>
  <si>
    <t>Momentum</t>
  </si>
  <si>
    <t>Monetization</t>
  </si>
  <si>
    <t>Recency</t>
  </si>
  <si>
    <t>Tổng trọng số</t>
  </si>
  <si>
    <t>Điểm 0–100. Growth được cap để giảm méo bởi game có base rất nhỏ; chỉnh trọng số B2:E2 để đổi lens.</t>
  </si>
  <si>
    <t>Market</t>
  </si>
  <si>
    <t>DL growth %</t>
  </si>
  <si>
    <t>Revenue growth %</t>
  </si>
  <si>
    <t>Opportunity score</t>
  </si>
  <si>
    <t>Rank</t>
  </si>
  <si>
    <t>Research status</t>
  </si>
  <si>
    <t>Notes</t>
  </si>
  <si>
    <t>Chưa review</t>
  </si>
  <si>
    <t>35,6% game Block có dữ liệu tăng trưởng là dương; Mahjong là 57,1%.</t>
  </si>
  <si>
    <t>PHƯƠNG PHÁP &amp; HƯỚNG DẪN RESEARCH</t>
  </si>
  <si>
    <t>MỤC TIÊU</t>
  </si>
  <si>
    <t>Đánh giá scale, momentum, monetization proxy và cơ hội concept Mahjong × Block.</t>
  </si>
  <si>
    <t>Đối tượng sử dụng</t>
  </si>
  <si>
    <t>Game designer; dùng để shortlist đối thủ, đặt hypothesis và lên kế hoạch teardown.</t>
  </si>
  <si>
    <t>Đơn vị phân tích</t>
  </si>
  <si>
    <t>Một dòng = một game trong snapshot nguồn.</t>
  </si>
  <si>
    <t>NGUỒN 1</t>
  </si>
  <si>
    <t>NGUỒN 2</t>
  </si>
  <si>
    <t>Ngày dựng workbook</t>
  </si>
  <si>
    <t>CHỈ SỐ</t>
  </si>
  <si>
    <t>ĐỊNH NGHĨA TRONG WORKBOOK</t>
  </si>
  <si>
    <t>CẢNH BÁO</t>
  </si>
  <si>
    <t>Downloads (Absolute) từ nguồn</t>
  </si>
  <si>
    <t>Không rõ geography/store/kỳ đo</t>
  </si>
  <si>
    <t>Chênh lệch downloads so với kỳ trước</t>
  </si>
  <si>
    <t>Kỳ PoP không được mô tả</t>
  </si>
  <si>
    <t>Tỷ lệ thay đổi downloads từ nguồn</t>
  </si>
  <si>
    <t>Blank thường là game mới/no prior</t>
  </si>
  <si>
    <t>Revenue (Absolute) từ nguồn</t>
  </si>
  <si>
    <t>Không rõ currency; 0 có thể là missing</t>
  </si>
  <si>
    <t>Revenue / Downloads × 1.000</t>
  </si>
  <si>
    <t>Weighted DL growth</t>
  </si>
  <si>
    <t>Tổng DL PoP Δ / tổng prior downloads</t>
  </si>
  <si>
    <t>Giảm ảnh hưởng game có base nhỏ</t>
  </si>
  <si>
    <t>Positive growth share</t>
  </si>
  <si>
    <t>Số game DL growth &gt; 0 / số game có growth</t>
  </si>
  <si>
    <t>Loại game thiếu growth khỏi mẫu số</t>
  </si>
  <si>
    <t>Top 5 concentration</t>
  </si>
  <si>
    <t>Tổng downloads 5 game đầu / tổng downloads</t>
  </si>
  <si>
    <t>Đo mức phụ thuộc hit</t>
  </si>
  <si>
    <t>Recent releases</t>
  </si>
  <si>
    <t>Release date trong 365 ngày gần nhất</t>
  </si>
  <si>
    <t>Dùng TODAY() của Excel</t>
  </si>
  <si>
    <t>OPPORTUNITY SCORE</t>
  </si>
  <si>
    <t>TRỌNG SỐ MẶC ĐỊNH</t>
  </si>
  <si>
    <t>LOGIC</t>
  </si>
  <si>
    <t>RỦI RO</t>
  </si>
  <si>
    <t>Log-normalized downloads trong toàn bộ 73 game</t>
  </si>
  <si>
    <t>Ưu tiên game lớn</t>
  </si>
  <si>
    <t>Map -25%→0, +100%→100; cap ngoài biên; blank→50</t>
  </si>
  <si>
    <t>Outlier base nhỏ vẫn cần review</t>
  </si>
  <si>
    <t>Log-normalized revenue/1k downloads</t>
  </si>
  <si>
    <t>Revenue 0/missing làm giảm điểm</t>
  </si>
  <si>
    <t>100 điểm khi mới; giảm về 0 sau 3 năm; blank→30</t>
  </si>
  <si>
    <t>Ngày nguồn có thể thiếu</t>
  </si>
  <si>
    <t>Total</t>
  </si>
  <si>
    <t>SUMPRODUCT 4 dimension với trọng số Shortlist!B2:E2</t>
  </si>
  <si>
    <t>Score để ưu tiên research, không phải dự báo hit</t>
  </si>
  <si>
    <t>WORKFLOW GỢI Ý</t>
  </si>
  <si>
    <t>HÀNH ĐỘNG</t>
  </si>
  <si>
    <t>1. Lọc</t>
  </si>
  <si>
    <t>Shortlist: lọc Rank &lt;= 15 và Research status = Chưa review.</t>
  </si>
  <si>
    <t>2. Chọn lens</t>
  </si>
  <si>
    <t>Chỉnh trọng số theo câu hỏi: scale, trend, monetization hay new entrants.</t>
  </si>
  <si>
    <t>3. Teardown</t>
  </si>
  <si>
    <t>Review store page, FTUE, core loop, fail state, meta, economy, ads/IAP.</t>
  </si>
  <si>
    <t>4. Ghi evidence</t>
  </si>
  <si>
    <t>Cập nhật Research status và Notes ngay trên từng game.</t>
  </si>
  <si>
    <t>5. So sánh</t>
  </si>
  <si>
    <t>Chọn 3 Block + 3 Mahjong để lập feature matrix.</t>
  </si>
  <si>
    <t>6. Prototype</t>
  </si>
  <si>
    <t>Test cùng một core với theme abstract vs Mahjong.</t>
  </si>
  <si>
    <t>7. Kết luận</t>
  </si>
  <si>
    <t>Chỉ ra evidence, assumption, dependency và test tiếp theo.</t>
  </si>
  <si>
    <t>QUY TẮC DIỄN GIẢI</t>
  </si>
  <si>
    <t>Không coi tổng trong file là market size tuyệt đối; đây là snapshot research.</t>
  </si>
  <si>
    <t>LƯU Ý</t>
  </si>
  <si>
    <t>Các insight cần được xác minh thêm bằng store page, gameplay và dữ liệu retention/monetization thực tế.</t>
  </si>
  <si>
    <t>MAHJONG × BLOCK — MARKET RESEARCH DASHBOARD</t>
  </si>
  <si>
    <t>Snapshot từ 73 game | Lens: scale, momentum, monetization proxy, recency</t>
  </si>
  <si>
    <t>BLOCK MARKET</t>
  </si>
  <si>
    <t>Số game</t>
  </si>
  <si>
    <t>MAHJONG MARKET</t>
  </si>
  <si>
    <t>HYBRID OPPORTUNITY</t>
  </si>
  <si>
    <t>Evidence</t>
  </si>
  <si>
    <t>Block có scale downloads lớn hơn; Mahjong có momentum rộng hơn.</t>
  </si>
  <si>
    <t>Design hypothesis</t>
  </si>
  <si>
    <t>Core spatial/block dễ học + Mahjong fantasy/collection/meta.</t>
  </si>
  <si>
    <t>Main risk</t>
  </si>
  <si>
    <t>Monetization proxy bị chi phối bởi vài outlier và revenue 0/missing.</t>
  </si>
  <si>
    <t>Next test</t>
  </si>
  <si>
    <t>A/B theme trên cùng core; đo FTUE, D1/D7, session, ads và IAP.</t>
  </si>
  <si>
    <t>Total downloads</t>
  </si>
  <si>
    <t>TOP OPPORTUNITY — CURRENT WEIGHTS</t>
  </si>
  <si>
    <t>HOW TO USE</t>
  </si>
  <si>
    <t>Đổi trọng số ở Shortlist!B2:E2 theo câu hỏi research.</t>
  </si>
  <si>
    <t>Lọc Rank &lt;= 15, sau đó review game và cập nhật status/notes.</t>
  </si>
  <si>
    <t>Đọc So sánh để hiểu trade-off giữa scale, breadth và monetization.</t>
  </si>
  <si>
    <t>Xem Phương pháp trước khi dùng kết luận cho product decision.</t>
  </si>
  <si>
    <t>TỔNG HỢP DỮ LIỆU CÓ THỂ INTERPRET</t>
  </si>
  <si>
    <t>Nguồn: Bài tập Mahjong × Block Puzzle + AILog_15082026 | Tách rõ evidence, interpretation và khoảng trống dữ liệu</t>
  </si>
  <si>
    <t>Nguồn</t>
  </si>
  <si>
    <t>INTERPRETATION TỪ DỮ LIỆU HIỆN CÓ</t>
  </si>
  <si>
    <t>Nhóm dữ liệu</t>
  </si>
  <si>
    <t>Evidence quan sát được</t>
  </si>
  <si>
    <t>Interpretation có thể rút ra</t>
  </si>
  <si>
    <t>Tin cậy</t>
  </si>
  <si>
    <t>Tác động / ưu tiên thiết kế</t>
  </si>
  <si>
    <t>Cần kiểm chứng</t>
  </si>
  <si>
    <t>Core loop</t>
  </si>
  <si>
    <t>Mahjong và Block phải cùng tham gia một core loop và tác động lẫn nhau.</t>
  </si>
  <si>
    <t>Giá trị lai nằm ở quan hệ nhân–quả giữa hai hệ, không phải số lượng mechanic.</t>
  </si>
  <si>
    <t>Cao</t>
  </si>
  <si>
    <t>P0 — mô tả rõ state/resource nào chuyển từ hệ A sang B và ngược lại.</t>
  </si>
  <si>
    <t>Prototype có còn thú vị nếu bỏ một trong hai hệ?</t>
  </si>
  <si>
    <t>PDF tr.1–2, B1</t>
  </si>
  <si>
    <t>Tỷ trọng hai hệ</t>
  </si>
  <si>
    <t>Không bắt buộc chia đều 50/50 nhưng cả hai phải thiết yếu.</t>
  </si>
  <si>
    <t>Có thể thiết kế bất đối xứng; một hệ tạo lựa chọn, hệ kia giải quyết hệ quả.</t>
  </si>
  <si>
    <t>P0 — chọn vai trò riêng cho từng hệ thay vì ép thời lượng bằng nhau.</t>
  </si>
  <si>
    <t>Người chơi có nhận ra vai trò thiết yếu của cả hai?</t>
  </si>
  <si>
    <t>PDF tr.2</t>
  </si>
  <si>
    <t>Hook / quyết định mới</t>
  </si>
  <si>
    <t>Rubric B1 yêu cầu tạo quyết định mới và hook được khai thác đủ sâu.</t>
  </si>
  <si>
    <t>Hook cần được diễn đạt như một quyết định lặp lại, không chỉ là theme hoặc gimmick.</t>
  </si>
  <si>
    <t>P0 — viết câu: “Người chơi chọn X trong Mahjong để đổi Y trong Block, chấp nhận trade-off Z”.</t>
  </si>
  <si>
    <t>Quyết định có nhiều phương án hợp lệ và trade-off thật không?</t>
  </si>
  <si>
    <t>PDF tr.1, tr.4 B1</t>
  </si>
  <si>
    <t>50 màn &amp; beat chart</t>
  </si>
  <si>
    <t>Có 50 màn hoàn chỉnh; beat chart bao phủ toàn bộ 50 màn; pacing có chủ đích.</t>
  </si>
  <si>
    <t>Beat chart là công cụ sản xuất và kiểm soát difficulty, không chỉ tài liệu nộp.</t>
  </si>
  <si>
    <t>P0 — gắn từng level với mục tiêu dạy/luyện/kết hợp/kiểm tra.</t>
  </si>
  <si>
    <t>Độ khó tăng do kỹ năng mới hay chỉ do thêm chướng ngại?</t>
  </si>
  <si>
    <t>PDF tr.2–4, B3</t>
  </si>
  <si>
    <t>Onboarding</t>
  </si>
  <si>
    <t>Người mới phải tự hiểu mục tiêu và thao tác; màn đầu dạy bằng chơi, không phụ thuộc chữ.</t>
  </si>
  <si>
    <t>Mức dễ hiểu phải được chứng minh bằng hành vi người chơi mới.</t>
  </si>
  <si>
    <t>P0 — playtest first-time user; đo thời gian hiểu mục tiêu và lỗi thao tác đầu.</t>
  </si>
  <si>
    <t>Người chơi mới hoàn thành màn 1 mà không được hướng dẫn miệng?</t>
  </si>
  <si>
    <t>PDF tr.4 B2</t>
  </si>
  <si>
    <t>Gate kỹ thuật</t>
  </si>
  <si>
    <t>Build không mở/không chơi được: A = 0 và không chấm B.</t>
  </si>
  <si>
    <t>Ổn định build là điều kiện mở khóa phần lớn điểm, không phải hạng mục polish cuối.</t>
  </si>
  <si>
    <t>P0 — tạo vertical slice chạy mobile sớm; smoke test sau mỗi thay đổi lớn.</t>
  </si>
  <si>
    <t>Mở offline, không mạng, trên ít nhất 2 kích thước điện thoại?</t>
  </si>
  <si>
    <t>PDF tr.4</t>
  </si>
  <si>
    <t>Single-file mobile</t>
  </si>
  <si>
    <t>Toàn bộ HTML/CSS/JS/SVG/âm thanh/50 màn/asset phải nhúng trong 1 HTML, không CDN.</t>
  </si>
  <si>
    <t>Ràng buộc đóng gói tác động trực tiếp tới asset budget, hiệu năng và kiến trúc dữ liệu level.</t>
  </si>
  <si>
    <t>P0 — ưu tiên SVG/âm thanh nhỏ, dữ liệu level có cấu trúc và fallback an toàn.</t>
  </si>
  <si>
    <t>Dung lượng file, thời gian tải, FPS và vùng chạm trên mobile?</t>
  </si>
  <si>
    <t>PDF tr.1–2, A1/B6</t>
  </si>
  <si>
    <t>Ưu tiên theo điểm</t>
  </si>
  <si>
    <t>B1=12, B3=12, C=20; ba mục cộng 44/100.</t>
  </si>
  <si>
    <t>Hook, pacing và spec là cụm đầu tư lớn nhất sau khi build đã qua gate.</t>
  </si>
  <si>
    <t>P1 — ưu tiên chất lượng tương tác + đường cong + traceable spec trước polish phụ.</t>
  </si>
  <si>
    <t>Chất lượng thực tế có đạt rubric hay chỉ đủ tài liệu?</t>
  </si>
  <si>
    <t>Feeling / juice</t>
  </si>
  <si>
    <t>Feeling, art, animation, âm thanh và juice phải nhất quán; B4=8 điểm.</t>
  </si>
  <si>
    <t>HTML không làm giảm chuẩn phản hồi; feedback phải củng cố trạng thái và quyết định.</t>
  </si>
  <si>
    <t>P1 — định nghĩa 3–5 từ feeling và map sang motion, SFX, color, timing.</t>
  </si>
  <si>
    <t>Người chơi mô tả feeling có trùng mục tiêu thiết kế?</t>
  </si>
  <si>
    <t>PDF tr.2, tr.4 B4</t>
  </si>
  <si>
    <t>Vai trò của AI</t>
  </si>
  <si>
    <t>AI hỗ trợ nghiên cứu/sản xuất; Game Designer chọn lọc, phản biện, kiểm thử và phê duyệt.</t>
  </si>
  <si>
    <t>Điểm mạnh không phải dùng nhiều prompt, mà là chứng minh phán đoán thiết kế sau khi dùng AI.</t>
  </si>
  <si>
    <t>P1 — mỗi quyết định quan trọng cần lý do, phương án bị loại và evidence test.</t>
  </si>
  <si>
    <t>Log có cho thấy GD sửa hoặc bác bỏ output AI không?</t>
  </si>
  <si>
    <t>PDF tr.3</t>
  </si>
  <si>
    <t>Nhật ký AI</t>
  </si>
  <si>
    <t>Traceability GDD</t>
  </si>
  <si>
    <t>GDD phải tổng hợp từ log; người chấm đối chiếu ngẫu nhiên 3 chi tiết giữa GDD, beat chart và build; lệch ≥2 có thể trừ 5 điểm.</t>
  </si>
  <si>
    <t>Cần một hệ ID chung cho mechanic, level beat và quyết định để giảm sai lệch tài liệu.</t>
  </si>
  <si>
    <t>P0 — dùng ID như DEC-01, MEC-02, LVL-015 trong log/GDD/beat chart/code comment.</t>
  </si>
  <si>
    <t>Ba chi tiết lấy ngẫu nhiên có khớp thông số và hành vi build?</t>
  </si>
  <si>
    <t>PDF tr.3–4</t>
  </si>
  <si>
    <t>Thứ tự đánh giá</t>
  </si>
  <si>
    <t>Người chấm chơi build trước khi đọc GDD.</t>
  </si>
  <si>
    <t>Core experience phải tự truyền đạt; tài liệu không cứu được onboarding hoặc feedback yếu.</t>
  </si>
  <si>
    <t>P1 — ưu tiên first-session clarity và build polish trước phần trình bày tài liệu.</t>
  </si>
  <si>
    <t>Người chơi có hiểu hook trước khi đọc giải thích?</t>
  </si>
  <si>
    <t>DỮ LIỆU CẦN BỔ SUNG VÀO AI LOG</t>
  </si>
  <si>
    <t>Ưu tiên</t>
  </si>
  <si>
    <t>Trường cần log</t>
  </si>
  <si>
    <t>Khi nào ghi</t>
  </si>
  <si>
    <t>Nội dung tối thiểu</t>
  </si>
  <si>
    <t>Cho phép interpret</t>
  </si>
  <si>
    <t>ID gợi ý</t>
  </si>
  <si>
    <t>P0</t>
  </si>
  <si>
    <t>Design decision</t>
  </si>
  <si>
    <t>Mỗi quyết định thay đổi core loop</t>
  </si>
  <si>
    <t>Vấn đề, lựa chọn, phương án chọn, lý do</t>
  </si>
  <si>
    <t>Chất lượng phán đoán thiết kế</t>
  </si>
  <si>
    <t>DEC-###</t>
  </si>
  <si>
    <t>Thiếu</t>
  </si>
  <si>
    <t>Phương án bị loại</t>
  </si>
  <si>
    <t>Khi bác bỏ concept/mechanic</t>
  </si>
  <si>
    <t>Phương án, lý do loại, evidence hoặc trade-off</t>
  </si>
  <si>
    <t>Khả năng phản biện AI</t>
  </si>
  <si>
    <t>ALT-###</t>
  </si>
  <si>
    <t>Build / smoke test</t>
  </si>
  <si>
    <t>Mỗi build quan trọng</t>
  </si>
  <si>
    <t>Thiết bị, bước test, expected, actual, lỗi, kết quả</t>
  </si>
  <si>
    <t>Độ ổn định và khả năng nộp</t>
  </si>
  <si>
    <t>TEST-###</t>
  </si>
  <si>
    <t>P1</t>
  </si>
  <si>
    <t>Prompt + phản hồi quan trọng</t>
  </si>
  <si>
    <t>Mỗi phiên AI có ảnh hưởng</t>
  </si>
  <si>
    <t>Mục tiêu prompt, model/tool, tóm tắt output, phần được dùng</t>
  </si>
  <si>
    <t>Cách AI đóng góp vào sản phẩm</t>
  </si>
  <si>
    <t>AI-###</t>
  </si>
  <si>
    <t>Playtest</t>
  </si>
  <si>
    <t>Mỗi vòng test người chơi</t>
  </si>
  <si>
    <t>Profile, quan sát, metric, quote ngắn, thay đổi sau test</t>
  </si>
  <si>
    <t>Onboarding, difficulty, feeling</t>
  </si>
  <si>
    <t>PT-###</t>
  </si>
  <si>
    <t>Thay đổi level / beat</t>
  </si>
  <si>
    <t>Khi sửa pacing hoặc level</t>
  </si>
  <si>
    <t>Level ID, mục tiêu beat, thay đổi, lý do, kết quả</t>
  </si>
  <si>
    <t>Đường cong 50 màn có chủ đích</t>
  </si>
  <si>
    <t>LVL-###</t>
  </si>
  <si>
    <t>Trace link</t>
  </si>
  <si>
    <t>Khi cập nhật GDD/beat/build</t>
  </si>
  <si>
    <t>ID quyết định + vị trí trong GDD/beat chart/build</t>
  </si>
  <si>
    <t>Độ nhất quán khi bị đối chiếu</t>
  </si>
  <si>
    <t>TRACE-###</t>
  </si>
  <si>
    <t>CÁCH DÙNG SHEET</t>
  </si>
  <si>
    <t>Dùng bảng insight để chọn việc ưu tiên; các dòng P0 phải được xử lý trước khi mở rộng nội dung.</t>
  </si>
  <si>
    <t>Sau mỗi phiên làm việc, cập nhật AILog theo checklist; không chỉ sao chép toàn bộ lịch sử chat.</t>
  </si>
  <si>
    <t>Mỗi tuần chọn ngẫu nhiên 3 ID và đối chiếu Log ↔ GDD ↔ Beat chart ↔ Build.</t>
  </si>
  <si>
    <t>Log có 6 prototype, phân tích pros/cons, bảng chấm 5 tiêu chí, đề xuất core/campaign và một iteration sang asset bài Tây.</t>
  </si>
  <si>
    <t>Log chứng minh exploration breadth và ít nhất một vòng prompt → output; chưa chứng minh GD phản biện/ra quyết định hay hiệu quả sau test.</t>
  </si>
  <si>
    <t>P0 — chốt DEC-01: chọn/không chọn hướng nào và lý do; ghi TEST-### cho build đã chơi; thêm model/tool và link/file.</t>
  </si>
  <si>
    <t>Có bằng chứng GD đã tự chơi, sửa gì sau test và loại phương án nào không?</t>
  </si>
  <si>
    <t>AILog 15/08/2026, 15:01 &amp; 17:12</t>
  </si>
  <si>
    <t>Đang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</si>
</sst>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0.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ptos"/>
    </font>
    <font>
      <b/>
      <sz val="10"/>
      <color rgb="FFFFFFFF"/>
      <name val="Aptos"/>
    </font>
    <font>
      <b/>
      <sz val="18"/>
      <color rgb="FFFFFFFF"/>
      <name val="Aptos"/>
    </font>
    <font>
      <i/>
      <sz val="10"/>
      <color rgb="FF44546A"/>
      <name val="Aptos"/>
    </font>
    <font>
      <b/>
      <sz val="12"/>
      <color rgb="FFFFFFFF"/>
      <name val="Aptos"/>
    </font>
    <font>
      <b/>
      <sz val="10"/>
      <color theme="1"/>
      <name val="Aptos"/>
    </font>
    <font>
      <b/>
      <sz val="10"/>
      <color rgb="FF006100"/>
      <name val="Aptos"/>
    </font>
    <font>
      <b/>
      <sz val="10"/>
      <color rgb="FF9C0006"/>
      <name val="Aptos"/>
    </font>
    <font>
      <sz val="10"/>
      <color rgb="FF9C0006"/>
      <name val="Aptos"/>
    </font>
    <font>
      <b/>
      <sz val="10"/>
      <color rgb="FF9C6500"/>
      <name val="Aptos"/>
    </font>
  </fonts>
  <fills count="18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00A6A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EAF7F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B4C6E7"/>
      </bottom>
      <diagonal/>
    </border>
    <border>
      <left/>
      <right/>
      <top/>
      <bottom style="thin">
        <color rgb="FFF4B183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" fillId="3" borderId="0" xfId="0" applyFont="1" applyFill="1"/>
    <xf numFmtId="9" fontId="1" fillId="3" borderId="0" xfId="0" applyNumberFormat="1" applyFont="1" applyFill="1" applyAlignment="1">
      <alignment horizontal="center"/>
    </xf>
    <xf numFmtId="0" fontId="1" fillId="4" borderId="0" xfId="0" applyFont="1" applyFill="1"/>
    <xf numFmtId="9" fontId="1" fillId="4" borderId="0" xfId="0" applyNumberFormat="1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4" fillId="6" borderId="0" xfId="0" applyFont="1" applyFill="1"/>
    <xf numFmtId="166" fontId="0" fillId="0" borderId="0" xfId="0" applyNumberFormat="1"/>
    <xf numFmtId="166" fontId="1" fillId="4" borderId="0" xfId="0" applyNumberFormat="1" applyFont="1" applyFill="1"/>
    <xf numFmtId="0" fontId="5" fillId="2" borderId="0" xfId="0" applyFont="1" applyFill="1"/>
    <xf numFmtId="0" fontId="6" fillId="7" borderId="0" xfId="0" applyFont="1" applyFill="1"/>
    <xf numFmtId="0" fontId="1" fillId="5" borderId="0" xfId="0" applyFont="1" applyFill="1" applyBorder="1"/>
    <xf numFmtId="0" fontId="1" fillId="5" borderId="1" xfId="0" applyFont="1" applyFill="1" applyBorder="1"/>
    <xf numFmtId="0" fontId="6" fillId="8" borderId="0" xfId="0" applyFont="1" applyFill="1"/>
    <xf numFmtId="0" fontId="1" fillId="9" borderId="0" xfId="0" applyFont="1" applyFill="1" applyBorder="1"/>
    <xf numFmtId="0" fontId="1" fillId="9" borderId="2" xfId="0" applyFont="1" applyFill="1" applyBorder="1"/>
    <xf numFmtId="3" fontId="1" fillId="5" borderId="0" xfId="0" applyNumberFormat="1" applyFont="1" applyFill="1" applyBorder="1" applyAlignment="1">
      <alignment horizontal="right"/>
    </xf>
    <xf numFmtId="3" fontId="1" fillId="9" borderId="0" xfId="0" applyNumberFormat="1" applyFont="1" applyFill="1" applyBorder="1" applyAlignment="1">
      <alignment horizontal="right"/>
    </xf>
    <xf numFmtId="4" fontId="1" fillId="5" borderId="0" xfId="0" applyNumberFormat="1" applyFont="1" applyFill="1" applyBorder="1" applyAlignment="1">
      <alignment horizontal="right"/>
    </xf>
    <xf numFmtId="4" fontId="1" fillId="9" borderId="0" xfId="0" applyNumberFormat="1" applyFont="1" applyFill="1" applyBorder="1" applyAlignment="1">
      <alignment horizontal="right"/>
    </xf>
    <xf numFmtId="164" fontId="1" fillId="5" borderId="0" xfId="0" applyNumberFormat="1" applyFont="1" applyFill="1" applyBorder="1" applyAlignment="1">
      <alignment horizontal="right"/>
    </xf>
    <xf numFmtId="164" fontId="1" fillId="5" borderId="1" xfId="0" applyNumberFormat="1" applyFont="1" applyFill="1" applyBorder="1" applyAlignment="1">
      <alignment horizontal="right"/>
    </xf>
    <xf numFmtId="164" fontId="1" fillId="9" borderId="0" xfId="0" applyNumberFormat="1" applyFont="1" applyFill="1" applyBorder="1" applyAlignment="1">
      <alignment horizontal="right"/>
    </xf>
    <xf numFmtId="164" fontId="1" fillId="9" borderId="2" xfId="0" applyNumberFormat="1" applyFont="1" applyFill="1" applyBorder="1" applyAlignment="1">
      <alignment horizontal="right"/>
    </xf>
    <xf numFmtId="0" fontId="6" fillId="10" borderId="0" xfId="0" applyFont="1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7" xfId="0" applyNumberFormat="1" applyBorder="1"/>
    <xf numFmtId="164" fontId="0" fillId="0" borderId="8" xfId="0" applyNumberFormat="1" applyBorder="1"/>
    <xf numFmtId="0" fontId="6" fillId="11" borderId="0" xfId="0" applyFont="1" applyFill="1"/>
    <xf numFmtId="0" fontId="6" fillId="12" borderId="0" xfId="0" applyFont="1" applyFill="1"/>
    <xf numFmtId="1" fontId="0" fillId="0" borderId="0" xfId="0" applyNumberFormat="1"/>
    <xf numFmtId="0" fontId="0" fillId="4" borderId="0" xfId="0" applyFill="1"/>
    <xf numFmtId="3" fontId="0" fillId="0" borderId="7" xfId="0" applyNumberFormat="1" applyBorder="1"/>
    <xf numFmtId="3" fontId="0" fillId="0" borderId="8" xfId="0" applyNumberFormat="1" applyBorder="1"/>
    <xf numFmtId="0" fontId="7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4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vertical="center" wrapText="1"/>
    </xf>
    <xf numFmtId="0" fontId="14" fillId="9" borderId="0" xfId="0" applyFont="1" applyFill="1" applyAlignment="1">
      <alignment vertical="center" wrapText="1"/>
    </xf>
    <xf numFmtId="0" fontId="15" fillId="9" borderId="0" xfId="0" applyFont="1" applyFill="1" applyAlignment="1">
      <alignment vertical="center" wrapText="1"/>
    </xf>
    <xf numFmtId="0" fontId="14" fillId="9" borderId="0" xfId="0" applyFont="1" applyFill="1" applyAlignment="1">
      <alignment horizontal="center" vertical="center" wrapText="1"/>
    </xf>
    <xf numFmtId="0" fontId="12" fillId="16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7" fillId="17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left" vertical="center" wrapText="1"/>
    </xf>
  </cellXfs>
  <cellStyles count="1">
    <cellStyle name="Normal" xfId="0" builtinId="0"/>
  </cellStyles>
  <dxfs count="19">
    <dxf>
      <font>
        <b/>
        <sz val="10"/>
        <color rgb="FF9C0006"/>
        <name val="Aptos"/>
      </font>
      <fill>
        <patternFill patternType="solid">
          <fgColor indexed="64"/>
          <bgColor rgb="FFFCE4D6"/>
        </patternFill>
      </fill>
      <alignment horizontal="center" vertical="center" wrapText="1"/>
    </dxf>
    <dxf>
      <font>
        <sz val="10"/>
        <name val="Aptos"/>
      </font>
      <alignment horizontal="center"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horizontal="center"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b/>
        <sz val="10"/>
        <color rgb="FF006100"/>
        <name val="Aptos"/>
      </font>
      <fill>
        <patternFill patternType="solid">
          <fgColor indexed="64"/>
          <bgColor rgb="FFE2F0D9"/>
        </patternFill>
      </fill>
      <alignment horizontal="center"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b/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b/>
      </font>
      <fill>
        <patternFill patternType="solid">
          <fgColor indexed="64"/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Quy mô downloads: Block gần gấp đôi Mahjong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Dashboard!$B$19</c:f>
              <c:strCache>
                <c:ptCount val="1"/>
                <c:pt idx="0">
                  <c:v>Total downloads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Dashboard!$A$20:$A$21</c:f>
              <c:strCache>
                <c:ptCount val="2"/>
                <c:pt idx="0">
                  <c:v>Block</c:v>
                </c:pt>
                <c:pt idx="1">
                  <c:v>Mahjong</c:v>
                </c:pt>
              </c:strCache>
            </c:strRef>
          </c:cat>
          <c:val>
            <c:numRef>
              <c:f>Dashboard!$B$20:$B$21</c:f>
              <c:numCache>
                <c:formatCode>#,##0</c:formatCode>
                <c:ptCount val="2"/>
                <c:pt idx="0">
                  <c:v>50634623</c:v>
                </c:pt>
                <c:pt idx="1">
                  <c:v>25960544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D-44DE-BBEF-F5FCD81DB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65708064"/>
        <c:axId val="409815872"/>
      </c:barChart>
      <c:catAx>
        <c:axId val="206570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815872"/>
        <c:crosses val="autoZero"/>
        <c:auto val="1"/>
        <c:lblAlgn val="ctr"/>
        <c:lblOffset val="100"/>
        <c:noMultiLvlLbl val="0"/>
      </c:catAx>
      <c:valAx>
        <c:axId val="40981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Downloads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70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Mahjong có momentum rộng hơn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Dashboard!$E$19</c:f>
              <c:strCache>
                <c:ptCount val="1"/>
                <c:pt idx="0">
                  <c:v>Positive growth share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Dashboard!$D$20:$D$21</c:f>
              <c:strCache>
                <c:ptCount val="2"/>
                <c:pt idx="0">
                  <c:v>Block</c:v>
                </c:pt>
                <c:pt idx="1">
                  <c:v>Mahjong</c:v>
                </c:pt>
              </c:strCache>
            </c:strRef>
          </c:cat>
          <c:val>
            <c:numRef>
              <c:f>Dashboard!$E$20:$E$21</c:f>
              <c:numCache>
                <c:formatCode>0.0%</c:formatCode>
                <c:ptCount val="2"/>
                <c:pt idx="0">
                  <c:v>0.35555555555555557</c:v>
                </c:pt>
                <c:pt idx="1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A-46E5-B582-7F91AA7C8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7240112"/>
        <c:axId val="407240528"/>
      </c:barChart>
      <c:catAx>
        <c:axId val="40724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40528"/>
        <c:crosses val="autoZero"/>
        <c:auto val="1"/>
        <c:lblAlgn val="ctr"/>
        <c:lblOffset val="100"/>
        <c:noMultiLvlLbl val="0"/>
      </c:catAx>
      <c:valAx>
        <c:axId val="40724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games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4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2" name="MarketDownloadsChart">
          <a:extLst>
            <a:ext uri="{FF2B5EF4-FFF2-40B4-BE49-F238E27FC236}">
              <a16:creationId xmlns:a16="http://schemas.microsoft.com/office/drawing/2014/main" id="{8497AC84-A196-406D-AFDC-0CC2771AF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3" name="PositiveGrowthChart">
          <a:extLst>
            <a:ext uri="{FF2B5EF4-FFF2-40B4-BE49-F238E27FC236}">
              <a16:creationId xmlns:a16="http://schemas.microsoft.com/office/drawing/2014/main" id="{965BF5F8-AC42-4046-95F2-CC9E4B4D1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E201A0-C327-4DFE-A8D8-22A80EBA19B7}" name="MarketComparison" displayName="MarketComparison" ref="A3:D16" totalsRowShown="0">
  <autoFilter ref="A3:D16" xr:uid="{A8E201A0-C327-4DFE-A8D8-22A80EBA19B7}">
    <filterColumn colId="0" hiddenButton="1"/>
    <filterColumn colId="1" hiddenButton="1"/>
    <filterColumn colId="2" hiddenButton="1"/>
    <filterColumn colId="3" hiddenButton="1"/>
  </autoFilter>
  <tableColumns count="4">
    <tableColumn id="1" xr3:uid="{544A315A-A8BD-436A-8A72-3F7DCC32E5E3}" name="Metric"/>
    <tableColumn id="2" xr3:uid="{F1E9B369-7247-4EFD-8C8B-6555A53D52CA}" name="Block"/>
    <tableColumn id="3" xr3:uid="{7B4BC619-03BA-4FD2-ACF2-C68706D3D79F}" name="Mahjong"/>
    <tableColumn id="4" xr3:uid="{DF165B80-A2A0-4777-9B5D-1878EF8C6D6A}" name="Cách đọ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5F429F-EB50-4F2A-AACE-9DB5FF745C0A}" name="OpportunityShortlist" displayName="OpportunityShortlist" ref="A6:Q79" totalsRowShown="0">
  <autoFilter ref="A6:Q79" xr:uid="{CB5F429F-EB50-4F2A-AACE-9DB5FF745C0A}"/>
  <tableColumns count="17">
    <tableColumn id="1" xr3:uid="{98ADB56C-6A0E-402C-809E-FB36550219DC}" name="Market">
      <calculatedColumnFormula>"Mahjong"</calculatedColumnFormula>
    </tableColumn>
    <tableColumn id="2" xr3:uid="{3FF1EA08-4DB0-44BA-ACF7-2595961D9CB1}" name="Game"/>
    <tableColumn id="3" xr3:uid="{CA689BDE-F54D-47DD-B833-57737DAB927E}" name="Publisher"/>
    <tableColumn id="4" xr3:uid="{115081C2-49F8-4C49-BCAC-476847FB602E}" name="Downloads"/>
    <tableColumn id="5" xr3:uid="{3F8CA9E3-0DDD-48C3-B9A7-9AACAD8BB0D2}" name="DL growth %"/>
    <tableColumn id="6" xr3:uid="{E335EDC5-A68C-4EB5-9B5F-EB7BF2542F1E}" name="Revenue"/>
    <tableColumn id="7" xr3:uid="{991A65AE-0BC2-41FC-A7A2-53E3079C9621}" name="Revenue growth %"/>
    <tableColumn id="8" xr3:uid="{2F07CAC0-34ED-40D0-A084-047EF18D5945}" name="Release date"/>
    <tableColumn id="9" xr3:uid="{2611E978-495A-4FF5-9825-B0AFE64EED7E}" name="Revenue / 1k DL"/>
    <tableColumn id="10" xr3:uid="{BE019447-7B85-44B4-83C7-010EEB5445A7}" name="Traction">
      <calculatedColumnFormula>IFERROR(LOG10(D7+1)/LOG10(MAX($D$7:$D$79)+1)*100,0)</calculatedColumnFormula>
    </tableColumn>
    <tableColumn id="11" xr3:uid="{9719C843-3309-4CA0-BD91-22F398E9CED2}" name="Momentum">
      <calculatedColumnFormula>IF(E7="",50,MAX(0,MIN(100,(E7+0.25)/1.25*100)))</calculatedColumnFormula>
    </tableColumn>
    <tableColumn id="12" xr3:uid="{294A0444-07E1-4D5B-87EF-48139E37F19C}" name="Monetization">
      <calculatedColumnFormula>IFERROR(IF(MAX($I$7:$I$79)=0,0,LOG10(I7+1)/LOG10(MAX($I$7:$I$79)+1)*100),0)</calculatedColumnFormula>
    </tableColumn>
    <tableColumn id="13" xr3:uid="{A76690D8-9F10-432D-818D-D154ECB0E74B}" name="Recency">
      <calculatedColumnFormula>IF(H7="",30,MAX(0,100-(TODAY()-H7)/1095*100))</calculatedColumnFormula>
    </tableColumn>
    <tableColumn id="14" xr3:uid="{1036DDF6-BF90-4272-9F38-2E47F835CEF7}" name="Opportunity score" dataDxfId="18">
      <calculatedColumnFormula>SUMPRODUCT(J7:M7,$B$2:$E$2)</calculatedColumnFormula>
    </tableColumn>
    <tableColumn id="15" xr3:uid="{848FEEA0-6CF1-49DA-AA97-A12FA002AE3D}" name="Rank">
      <calculatedColumnFormula>_xlfn.RANK.EQ(N7,$N$7:$N$79,0)</calculatedColumnFormula>
    </tableColumn>
    <tableColumn id="16" xr3:uid="{A23CD16D-9E71-439B-9101-21531F98AE94}" name="Research status"/>
    <tableColumn id="17" xr3:uid="{A86B30AC-45B0-4039-AEF5-27E2769552A8}" name="Not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4AC0AE-723B-4928-8659-8AAA5277408A}" name="BlockMarketTable" displayName="BlockMarketTable" ref="A1:O50" totalsRowShown="0">
  <autoFilter ref="A1:O50" xr:uid="{E34AC0AE-723B-4928-8659-8AAA5277408A}"/>
  <tableColumns count="15">
    <tableColumn id="1" xr3:uid="{8F484880-1CF0-409F-A523-C44A36110D58}" name="Game"/>
    <tableColumn id="2" xr3:uid="{F17F022E-E69E-42E1-9313-9827C54D0299}" name="Publisher"/>
    <tableColumn id="3" xr3:uid="{204E6E69-6E5A-4D28-B281-6B9CE417730D}" name="Downloads"/>
    <tableColumn id="4" xr3:uid="{C115738F-99FD-44B2-B49D-6A9B40F4214A}" name="DL PoP Δ"/>
    <tableColumn id="5" xr3:uid="{ED140600-2CA5-4125-963C-126DF4386404}" name="DL PoP %"/>
    <tableColumn id="6" xr3:uid="{BBC73021-D361-4BDB-8061-404642BAE258}" name="Revenue"/>
    <tableColumn id="7" xr3:uid="{92A72E9B-EBD3-4BA5-9283-CC85E290C8C4}" name="Revenue PoP Δ"/>
    <tableColumn id="8" xr3:uid="{F097AF10-BA98-4232-9A17-0EC1890A592B}" name="Revenue PoP %"/>
    <tableColumn id="9" xr3:uid="{21284AAA-9B9F-448A-9FEE-9857E02F60C1}" name="Release date"/>
    <tableColumn id="10" xr3:uid="{38620610-34AE-4051-B170-50F9D8281069}" name="Release age"/>
    <tableColumn id="11" xr3:uid="{8AB3A426-6561-4BF7-99B7-42C3EFF9750E}" name="Prior downloads">
      <calculatedColumnFormula>C2-D2</calculatedColumnFormula>
    </tableColumn>
    <tableColumn id="12" xr3:uid="{6C3BBC63-31D7-453C-A5DB-1C2BCF43BBA4}" name="Prior revenue">
      <calculatedColumnFormula>F2-G2</calculatedColumnFormula>
    </tableColumn>
    <tableColumn id="13" xr3:uid="{90F2A176-E2C4-4FD3-B1A3-AEA892B9A32F}" name="Revenue / 1k DL">
      <calculatedColumnFormula>IF(C2=0,"",F2/C2*1000)</calculatedColumnFormula>
    </tableColumn>
    <tableColumn id="14" xr3:uid="{BB6263C3-A6B6-4AD9-B874-37000B76E43C}" name="Momentum tag">
      <calculatedColumnFormula>IF(ISBLANK(E2),"New / no prior",IF(E2&gt;=0.2,"Accelerating",IF(E2&gt;0,"Growing",IF(E2&gt;=-0.1,"Stable","Declining"))))</calculatedColumnFormula>
    </tableColumn>
    <tableColumn id="15" xr3:uid="{0B522D1A-78E5-4357-8B0F-E582BD79F1DC}" name="Source fi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8F3A52-9ED1-4F79-B673-617EF5D061EC}" name="MahjongMarketTable" displayName="MahjongMarketTable" ref="A1:O25" totalsRowShown="0">
  <autoFilter ref="A1:O25" xr:uid="{198F3A52-9ED1-4F79-B673-617EF5D061EC}"/>
  <tableColumns count="15">
    <tableColumn id="1" xr3:uid="{C4FB7C79-13DF-4B42-AF54-B56569200805}" name="Game"/>
    <tableColumn id="2" xr3:uid="{AE455C62-0427-4446-9BD8-817C823F6C7C}" name="Publisher"/>
    <tableColumn id="3" xr3:uid="{CACF90F2-D192-498C-8BCB-B66676FD32DE}" name="Downloads"/>
    <tableColumn id="4" xr3:uid="{B6001A44-35F7-4D98-8767-2C71E819A09D}" name="DL PoP Δ"/>
    <tableColumn id="5" xr3:uid="{62B426E1-2E37-4AA8-A337-2786AB51AC9E}" name="DL PoP %"/>
    <tableColumn id="6" xr3:uid="{7F90996B-8A59-4C95-848A-E89BB029D644}" name="Revenue"/>
    <tableColumn id="7" xr3:uid="{79806B5A-691B-48E5-8BEE-0752D4EFF149}" name="Revenue PoP Δ"/>
    <tableColumn id="8" xr3:uid="{6510114E-547B-480E-9AFB-0375D2676C24}" name="Revenue PoP %"/>
    <tableColumn id="9" xr3:uid="{6C6EF089-0B52-4931-8D55-757872053DF7}" name="Release date"/>
    <tableColumn id="10" xr3:uid="{59D6C5BA-3D2B-40F9-9BDF-AFBCA850F1E2}" name="Release age"/>
    <tableColumn id="11" xr3:uid="{67CAC889-DECD-41EA-A9E4-58FB2843481F}" name="Prior downloads">
      <calculatedColumnFormula>C2-D2</calculatedColumnFormula>
    </tableColumn>
    <tableColumn id="12" xr3:uid="{A29E3260-DFFC-45BF-A653-0E5FDDAD3466}" name="Prior revenue">
      <calculatedColumnFormula>F2-G2</calculatedColumnFormula>
    </tableColumn>
    <tableColumn id="13" xr3:uid="{97A81100-D7AB-4840-BE25-3B51FD051FDB}" name="Revenue / 1k DL">
      <calculatedColumnFormula>IF(C2=0,"",F2/C2*1000)</calculatedColumnFormula>
    </tableColumn>
    <tableColumn id="14" xr3:uid="{3630C5FF-3FAF-4293-AF0D-35D673CC98A4}" name="Momentum tag">
      <calculatedColumnFormula>IF(ISBLANK(E2),"New / no prior",IF(E2&gt;=0.2,"Accelerating",IF(E2&gt;0,"Growing",IF(E2&gt;=-0.1,"Stable","Declining"))))</calculatedColumnFormula>
    </tableColumn>
    <tableColumn id="15" xr3:uid="{E98DB477-7575-4750-B50D-815A85031A56}" name="Source fil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4A7C0A-C9B9-418E-A2AF-E0874260CBDB}" name="tblInterpretInsights" displayName="tblInterpretInsights" ref="A5:G18" totalsRowShown="0" headerRowDxfId="17" dataDxfId="16">
  <autoFilter ref="A5:G18" xr:uid="{B34A7C0A-C9B9-418E-A2AF-E0874260CBDB}"/>
  <tableColumns count="7">
    <tableColumn id="1" xr3:uid="{76B77FD0-52A4-4F13-A120-62363334F787}" name="Nhóm dữ liệu" dataDxfId="15"/>
    <tableColumn id="2" xr3:uid="{E385ADBD-518B-42B4-9B2A-A4D7345FCBDE}" name="Evidence quan sát được" dataDxfId="14"/>
    <tableColumn id="3" xr3:uid="{31AF1B45-BBF8-4B72-990B-C9F0DF51ADA4}" name="Interpretation có thể rút ra" dataDxfId="13"/>
    <tableColumn id="4" xr3:uid="{0AA283D1-1659-4660-8B9D-759EDA01DB09}" name="Tin cậy" dataDxfId="12"/>
    <tableColumn id="5" xr3:uid="{6FEE32B8-5DF2-4B17-873A-55A0BB6036A1}" name="Tác động / ưu tiên thiết kế" dataDxfId="11"/>
    <tableColumn id="6" xr3:uid="{1612AE6B-DA52-447E-875C-0298957FCEBF}" name="Cần kiểm chứng" dataDxfId="10"/>
    <tableColumn id="7" xr3:uid="{E8E889CB-28BE-456C-B602-891670B307E9}" name="Nguồn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53CED4-7FCA-4FC5-B88E-88BCA87EF31F}" name="tblAILogChecklist" displayName="tblAILogChecklist" ref="A21:G28" totalsRowShown="0" headerRowDxfId="8" dataDxfId="7">
  <autoFilter ref="A21:G28" xr:uid="{F453CED4-7FCA-4FC5-B88E-88BCA87EF31F}"/>
  <tableColumns count="7">
    <tableColumn id="1" xr3:uid="{CE44F4CE-2A9C-45E1-A7E3-35E5FE2A91D7}" name="Ưu tiên" dataDxfId="6"/>
    <tableColumn id="2" xr3:uid="{190DCA0C-C4AB-4E1A-A7CC-C5272EC86DC8}" name="Trường cần log" dataDxfId="5"/>
    <tableColumn id="3" xr3:uid="{8201010C-505A-4825-BD28-B0BF7BA14F49}" name="Khi nào ghi" dataDxfId="4"/>
    <tableColumn id="4" xr3:uid="{FB2E8D4F-E10F-4B16-8AE2-8A491A57C668}" name="Nội dung tối thiểu" dataDxfId="3"/>
    <tableColumn id="5" xr3:uid="{8DD9EDF9-4578-42CC-A9FB-B277070FE782}" name="Cho phép interpret" dataDxfId="2"/>
    <tableColumn id="6" xr3:uid="{384BCDD3-04BE-4A9D-9583-54C2FA180253}" name="ID gợi ý" dataDxfId="1"/>
    <tableColumn id="7" xr3:uid="{76CC2025-99CA-4977-BBF0-9A491986DCA1}" name="Trạng thái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D859F8-F2A5-443F-B2A8-6FA52C655D21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f1358c9d-8b19-4be1-adf2-6857f76dbfc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BB55-A3BE-4FAF-B6FD-072DFD743A07}">
  <dimension ref="A1:N35"/>
  <sheetViews>
    <sheetView showGridLines="0" workbookViewId="0">
      <pane ySplit="1" topLeftCell="A3" activePane="bottomLeft" state="frozen"/>
      <selection pane="bottomLeft" activeCell="K12" sqref="K12"/>
    </sheetView>
  </sheetViews>
  <sheetFormatPr defaultRowHeight="14.5"/>
  <cols>
    <col min="1" max="1" width="22.7265625" customWidth="1"/>
    <col min="2" max="2" width="54.54296875" customWidth="1"/>
    <col min="3" max="3" width="4.36328125" customWidth="1"/>
    <col min="4" max="5" width="23.6328125" customWidth="1"/>
    <col min="6" max="14" width="13.08984375" customWidth="1"/>
  </cols>
  <sheetData>
    <row r="1" spans="1:14" ht="30" customHeight="1">
      <c r="A1" s="18" t="s">
        <v>294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>
      <c r="A2" s="1" t="s">
        <v>295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>
      <c r="A4" s="19" t="s">
        <v>296</v>
      </c>
      <c r="B4" s="19"/>
      <c r="D4" s="22" t="s">
        <v>298</v>
      </c>
      <c r="E4" s="22"/>
    </row>
    <row r="5" spans="1:14">
      <c r="A5" s="20" t="s">
        <v>297</v>
      </c>
      <c r="B5" s="25">
        <f>'So sánh'!B4</f>
        <v>49</v>
      </c>
      <c r="D5" s="23" t="s">
        <v>297</v>
      </c>
      <c r="E5" s="26">
        <f>'So sánh'!C4</f>
        <v>24</v>
      </c>
    </row>
    <row r="6" spans="1:14">
      <c r="A6" s="20" t="s">
        <v>159</v>
      </c>
      <c r="B6" s="25">
        <f>'So sánh'!B5</f>
        <v>50634623</v>
      </c>
      <c r="D6" s="23" t="s">
        <v>159</v>
      </c>
      <c r="E6" s="26">
        <f>'So sánh'!C5</f>
        <v>25960544</v>
      </c>
    </row>
    <row r="7" spans="1:14">
      <c r="A7" s="20" t="s">
        <v>165</v>
      </c>
      <c r="B7" s="27">
        <f>'So sánh'!B8</f>
        <v>17308927.170000002</v>
      </c>
      <c r="D7" s="23" t="s">
        <v>165</v>
      </c>
      <c r="E7" s="28">
        <f>'So sánh'!C8</f>
        <v>978960.23</v>
      </c>
    </row>
    <row r="8" spans="1:14">
      <c r="A8" s="20" t="s">
        <v>247</v>
      </c>
      <c r="B8" s="29">
        <f>'So sánh'!B10</f>
        <v>4.6775643561437147E-3</v>
      </c>
      <c r="D8" s="23" t="s">
        <v>247</v>
      </c>
      <c r="E8" s="31">
        <f>'So sánh'!C10</f>
        <v>4.5100790129559989E-2</v>
      </c>
    </row>
    <row r="9" spans="1:14">
      <c r="A9" s="21" t="s">
        <v>250</v>
      </c>
      <c r="B9" s="30">
        <f>'So sánh'!B11</f>
        <v>0.35555555555555557</v>
      </c>
      <c r="D9" s="24" t="s">
        <v>250</v>
      </c>
      <c r="E9" s="32">
        <f>'So sánh'!C11</f>
        <v>0.5714285714285714</v>
      </c>
    </row>
    <row r="12" spans="1:14">
      <c r="A12" s="33" t="s">
        <v>299</v>
      </c>
      <c r="B12" s="33"/>
      <c r="C12" s="33"/>
      <c r="D12" s="33"/>
      <c r="E12" s="33"/>
    </row>
    <row r="13" spans="1:14">
      <c r="A13" s="11" t="s">
        <v>300</v>
      </c>
      <c r="B13" t="s">
        <v>301</v>
      </c>
    </row>
    <row r="14" spans="1:14">
      <c r="A14" s="11" t="s">
        <v>302</v>
      </c>
      <c r="B14" t="s">
        <v>303</v>
      </c>
    </row>
    <row r="15" spans="1:14">
      <c r="A15" s="11" t="s">
        <v>304</v>
      </c>
      <c r="B15" t="s">
        <v>305</v>
      </c>
    </row>
    <row r="16" spans="1:14">
      <c r="A16" s="11" t="s">
        <v>306</v>
      </c>
      <c r="B16" t="s">
        <v>307</v>
      </c>
    </row>
    <row r="19" spans="1:5">
      <c r="A19" s="34" t="s">
        <v>216</v>
      </c>
      <c r="B19" s="37" t="s">
        <v>308</v>
      </c>
      <c r="D19" s="34" t="s">
        <v>216</v>
      </c>
      <c r="E19" s="37" t="s">
        <v>250</v>
      </c>
    </row>
    <row r="20" spans="1:5">
      <c r="A20" s="35" t="s">
        <v>154</v>
      </c>
      <c r="B20" s="44">
        <f>'So sánh'!B5</f>
        <v>50634623</v>
      </c>
      <c r="D20" s="35" t="s">
        <v>154</v>
      </c>
      <c r="E20" s="38">
        <f>'So sánh'!B11</f>
        <v>0.35555555555555557</v>
      </c>
    </row>
    <row r="21" spans="1:5">
      <c r="A21" s="36" t="s">
        <v>155</v>
      </c>
      <c r="B21" s="45">
        <f>'So sánh'!C5</f>
        <v>25960544</v>
      </c>
      <c r="D21" s="36" t="s">
        <v>155</v>
      </c>
      <c r="E21" s="39">
        <f>'So sánh'!C11</f>
        <v>0.5714285714285714</v>
      </c>
    </row>
    <row r="24" spans="1:5">
      <c r="A24" s="40" t="s">
        <v>309</v>
      </c>
      <c r="B24" s="40"/>
      <c r="C24" s="40"/>
    </row>
    <row r="25" spans="1:5">
      <c r="A25" t="s">
        <v>1</v>
      </c>
      <c r="B25" t="str">
        <f ca="1">INDEX(Shortlist!B7:B79,MATCH(1,Shortlist!O7:O79,0))</f>
        <v>Block Out! - Color Sort Puzzle</v>
      </c>
    </row>
    <row r="26" spans="1:5">
      <c r="A26" t="s">
        <v>216</v>
      </c>
      <c r="B26" t="str">
        <f ca="1">INDEX(Shortlist!A7:A79,MATCH(1,Shortlist!O7:O79,0))</f>
        <v>Block</v>
      </c>
    </row>
    <row r="27" spans="1:5">
      <c r="A27" t="s">
        <v>219</v>
      </c>
      <c r="B27" s="17">
        <f ca="1">INDEX(Shortlist!N7:N79,MATCH(1,Shortlist!O7:O79,0))</f>
        <v>74.474668330773554</v>
      </c>
    </row>
    <row r="28" spans="1:5">
      <c r="A28" t="s">
        <v>221</v>
      </c>
      <c r="B28" t="str">
        <f ca="1">INDEX(Shortlist!P7:P79,MATCH(1,Shortlist!O7:O79,0))</f>
        <v>Chưa review</v>
      </c>
    </row>
    <row r="31" spans="1:5">
      <c r="A31" s="41" t="s">
        <v>310</v>
      </c>
      <c r="B31" s="41"/>
      <c r="C31" s="41"/>
      <c r="D31" s="41"/>
      <c r="E31" s="41"/>
    </row>
    <row r="32" spans="1:5">
      <c r="A32">
        <v>1</v>
      </c>
      <c r="B32" t="s">
        <v>311</v>
      </c>
    </row>
    <row r="33" spans="1:2">
      <c r="A33">
        <v>2</v>
      </c>
      <c r="B33" t="s">
        <v>312</v>
      </c>
    </row>
    <row r="34" spans="1:2">
      <c r="A34">
        <v>3</v>
      </c>
      <c r="B34" t="s">
        <v>313</v>
      </c>
    </row>
    <row r="35" spans="1:2">
      <c r="A35">
        <v>4</v>
      </c>
      <c r="B35" t="s">
        <v>314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DAD2-10EE-4E3F-BF10-1612807E4199}">
  <sheetPr>
    <tabColor rgb="FF4472C4"/>
  </sheetPr>
  <dimension ref="A1:D27"/>
  <sheetViews>
    <sheetView showGridLines="0" topLeftCell="A12" workbookViewId="0">
      <selection activeCell="C29" sqref="C29"/>
    </sheetView>
  </sheetViews>
  <sheetFormatPr defaultRowHeight="14.5"/>
  <cols>
    <col min="1" max="3" width="38.1796875" customWidth="1"/>
    <col min="4" max="4" width="63.6328125" customWidth="1"/>
  </cols>
  <sheetData>
    <row r="1" spans="1:4" ht="21">
      <c r="A1" s="7" t="s">
        <v>151</v>
      </c>
      <c r="B1" s="7"/>
      <c r="C1" s="7"/>
      <c r="D1" s="7"/>
    </row>
    <row r="2" spans="1:4">
      <c r="A2" s="1" t="s">
        <v>152</v>
      </c>
      <c r="B2" s="1"/>
      <c r="C2" s="1"/>
      <c r="D2" s="1"/>
    </row>
    <row r="3" spans="1:4">
      <c r="A3" t="s">
        <v>153</v>
      </c>
      <c r="B3" t="s">
        <v>154</v>
      </c>
      <c r="C3" t="s">
        <v>155</v>
      </c>
      <c r="D3" t="s">
        <v>156</v>
      </c>
    </row>
    <row r="4" spans="1:4">
      <c r="A4" t="s">
        <v>157</v>
      </c>
      <c r="B4" s="3">
        <f>COUNTA('Block Data'!A2:A50)</f>
        <v>49</v>
      </c>
      <c r="C4" s="3">
        <f>COUNTA('Mahjong Data'!A2:A25)</f>
        <v>24</v>
      </c>
      <c r="D4" t="s">
        <v>158</v>
      </c>
    </row>
    <row r="5" spans="1:4">
      <c r="A5" t="s">
        <v>159</v>
      </c>
      <c r="B5" s="3">
        <f>SUM('Block Data'!C2:C50)</f>
        <v>50634623</v>
      </c>
      <c r="C5" s="3">
        <f>SUM('Mahjong Data'!C2:C25)</f>
        <v>25960544</v>
      </c>
      <c r="D5" t="s">
        <v>160</v>
      </c>
    </row>
    <row r="6" spans="1:4">
      <c r="A6" t="s">
        <v>161</v>
      </c>
      <c r="B6" s="3">
        <f>AVERAGE('Block Data'!C2:C50)</f>
        <v>1033359.6530612245</v>
      </c>
      <c r="C6" s="3">
        <f>AVERAGE('Mahjong Data'!C2:C25)</f>
        <v>1081689.3333333333</v>
      </c>
      <c r="D6" t="s">
        <v>162</v>
      </c>
    </row>
    <row r="7" spans="1:4">
      <c r="A7" t="s">
        <v>163</v>
      </c>
      <c r="B7" s="3">
        <f>MEDIAN('Block Data'!C2:C50)</f>
        <v>232263</v>
      </c>
      <c r="C7" s="3">
        <f>MEDIAN('Mahjong Data'!C2:C25)</f>
        <v>395272</v>
      </c>
      <c r="D7" t="s">
        <v>164</v>
      </c>
    </row>
    <row r="8" spans="1:4">
      <c r="A8" t="s">
        <v>165</v>
      </c>
      <c r="B8" s="5">
        <f>SUM('Block Data'!F2:F50)</f>
        <v>17308927.170000002</v>
      </c>
      <c r="C8" s="5">
        <f>SUM('Mahjong Data'!F2:F25)</f>
        <v>978960.23</v>
      </c>
      <c r="D8" t="s">
        <v>166</v>
      </c>
    </row>
    <row r="9" spans="1:4">
      <c r="A9" t="s">
        <v>167</v>
      </c>
      <c r="B9" s="5">
        <f>SUM('Block Data'!F2:F50)/SUM('Block Data'!C2:C50)*1000</f>
        <v>341.83975597092928</v>
      </c>
      <c r="C9" s="5">
        <f>SUM('Mahjong Data'!F2:F25)/SUM('Mahjong Data'!C2:C25)*1000</f>
        <v>37.709542219146101</v>
      </c>
      <c r="D9" t="s">
        <v>168</v>
      </c>
    </row>
    <row r="10" spans="1:4">
      <c r="A10" t="s">
        <v>169</v>
      </c>
      <c r="B10" s="4">
        <f>SUM('Block Data'!D2:D50)/SUM('Block Data'!K2:K50)</f>
        <v>4.6775643561437147E-3</v>
      </c>
      <c r="C10" s="4">
        <f>SUM('Mahjong Data'!D2:D25)/SUM('Mahjong Data'!K2:K25)</f>
        <v>4.5100790129559989E-2</v>
      </c>
      <c r="D10" t="s">
        <v>170</v>
      </c>
    </row>
    <row r="11" spans="1:4">
      <c r="A11" t="s">
        <v>171</v>
      </c>
      <c r="B11" s="4">
        <f>COUNTIF('Block Data'!E2:E50,"&gt;0")/COUNT('Block Data'!E2:E50)</f>
        <v>0.35555555555555557</v>
      </c>
      <c r="C11" s="4">
        <f>COUNTIF('Mahjong Data'!E2:E25,"&gt;0")/COUNT('Mahjong Data'!E2:E25)</f>
        <v>0.5714285714285714</v>
      </c>
      <c r="D11" t="s">
        <v>172</v>
      </c>
    </row>
    <row r="12" spans="1:4">
      <c r="A12" t="s">
        <v>173</v>
      </c>
      <c r="B12" s="4">
        <f>(COUNTIF('Block Data'!N2:N50,"Accelerating")+COUNTIF('Block Data'!N2:N50,"New / no prior"))/COUNTA('Block Data'!A2:A50)</f>
        <v>0.2857142857142857</v>
      </c>
      <c r="C12" s="4">
        <f>(COUNTIF('Mahjong Data'!N2:N25,"Accelerating")+COUNTIF('Mahjong Data'!N2:N25,"New / no prior"))/COUNTA('Mahjong Data'!A2:A25)</f>
        <v>0.375</v>
      </c>
      <c r="D12" t="s">
        <v>174</v>
      </c>
    </row>
    <row r="13" spans="1:4">
      <c r="A13" t="s">
        <v>175</v>
      </c>
      <c r="B13" s="4" cm="1">
        <f t="array" ref="B13">SUM(LARGE('Block Data'!C2:C50,{1,2,3,4,5}))/SUM('Block Data'!C2:C50)</f>
        <v>0.74739025903283607</v>
      </c>
      <c r="C13" s="4" cm="1">
        <f t="array" ref="C13">SUM(LARGE('Mahjong Data'!C2:C25,{1,2,3,4,5}))/SUM('Mahjong Data'!C2:C25)</f>
        <v>0.72269198210946584</v>
      </c>
      <c r="D13" t="s">
        <v>176</v>
      </c>
    </row>
    <row r="14" spans="1:4">
      <c r="A14" t="s">
        <v>177</v>
      </c>
      <c r="B14" s="42">
        <f ca="1">COUNTIF('Block Data'!I2:I50,"&gt;="&amp;TODAY()-365)</f>
        <v>16</v>
      </c>
      <c r="C14" s="42">
        <f ca="1">COUNTIF('Mahjong Data'!I2:I25,"&gt;="&amp;TODAY()-365)</f>
        <v>10</v>
      </c>
      <c r="D14" t="s">
        <v>178</v>
      </c>
    </row>
    <row r="15" spans="1:4">
      <c r="A15" t="s">
        <v>179</v>
      </c>
      <c r="B15" t="str">
        <f>INDEX('Block Data'!A2:A50,MATCH(MAX('Block Data'!C2:C50),'Block Data'!C2:C50,0))</f>
        <v>Block Blast!</v>
      </c>
      <c r="C15" t="str">
        <f>INDEX('Mahjong Data'!A2:A25,MATCH(MAX('Mahjong Data'!C2:C25),'Mahjong Data'!C2:C25,0))</f>
        <v>Vita Mahjong</v>
      </c>
      <c r="D15" t="s">
        <v>180</v>
      </c>
    </row>
    <row r="16" spans="1:4">
      <c r="A16" t="s">
        <v>181</v>
      </c>
      <c r="B16" t="str">
        <f>INDEX('Block Data'!A2:A50,MATCH(MAX('Block Data'!F2:F50),'Block Data'!F2:F50,0))</f>
        <v>Block Out! - Color Sort Puzzle</v>
      </c>
      <c r="C16" t="str">
        <f>INDEX('Mahjong Data'!A2:A25,MATCH(MAX('Mahjong Data'!F2:F25),'Mahjong Data'!F2:F25,0))</f>
        <v>Mahjong Crush: Sorting Jam</v>
      </c>
      <c r="D16" t="s">
        <v>182</v>
      </c>
    </row>
    <row r="19" spans="1:4">
      <c r="A19" s="33" t="s">
        <v>183</v>
      </c>
      <c r="B19" s="33"/>
      <c r="C19" s="33"/>
      <c r="D19" s="33"/>
    </row>
    <row r="20" spans="1:4">
      <c r="A20" s="43" t="s">
        <v>184</v>
      </c>
      <c r="B20" s="43" t="s">
        <v>185</v>
      </c>
      <c r="C20" s="43"/>
      <c r="D20" s="43" t="s">
        <v>186</v>
      </c>
    </row>
    <row r="21" spans="1:4">
      <c r="A21" s="43" t="s">
        <v>187</v>
      </c>
      <c r="B21" s="43" t="s">
        <v>224</v>
      </c>
      <c r="C21" s="43"/>
      <c r="D21" s="43" t="s">
        <v>188</v>
      </c>
    </row>
    <row r="22" spans="1:4">
      <c r="A22" s="43" t="s">
        <v>189</v>
      </c>
      <c r="B22" s="43" t="s">
        <v>190</v>
      </c>
      <c r="C22" s="43"/>
      <c r="D22" s="43" t="s">
        <v>191</v>
      </c>
    </row>
    <row r="23" spans="1:4">
      <c r="A23" s="43" t="s">
        <v>192</v>
      </c>
      <c r="B23" s="43" t="s">
        <v>193</v>
      </c>
      <c r="C23" s="43"/>
      <c r="D23" s="43" t="s">
        <v>194</v>
      </c>
    </row>
    <row r="24" spans="1:4">
      <c r="A24" s="43" t="s">
        <v>195</v>
      </c>
      <c r="B24" s="43" t="s">
        <v>196</v>
      </c>
      <c r="C24" s="43"/>
      <c r="D24" s="43" t="s">
        <v>197</v>
      </c>
    </row>
    <row r="25" spans="1:4">
      <c r="A25" s="43" t="s">
        <v>198</v>
      </c>
      <c r="B25" s="43" t="s">
        <v>199</v>
      </c>
      <c r="C25" s="43"/>
      <c r="D25" s="43" t="s">
        <v>200</v>
      </c>
    </row>
    <row r="26" spans="1:4">
      <c r="A26" s="43" t="s">
        <v>201</v>
      </c>
      <c r="B26" s="43" t="s">
        <v>202</v>
      </c>
      <c r="C26" s="43"/>
      <c r="D26" s="43" t="s">
        <v>203</v>
      </c>
    </row>
    <row r="27" spans="1:4">
      <c r="A27" s="9" t="s">
        <v>204</v>
      </c>
      <c r="B27" s="9" t="s">
        <v>205</v>
      </c>
      <c r="C27" s="9"/>
      <c r="D27" s="9" t="s">
        <v>206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C6CC-0D46-4F4B-9A86-144762DA3B64}">
  <sheetPr>
    <tabColor rgb="FF70AD47"/>
  </sheetPr>
  <dimension ref="A1:Q79"/>
  <sheetViews>
    <sheetView showGridLines="0" workbookViewId="0">
      <pane ySplit="6" topLeftCell="A12" activePane="bottomLeft" state="frozen"/>
      <selection pane="bottomLeft" activeCell="F8" sqref="F8"/>
    </sheetView>
  </sheetViews>
  <sheetFormatPr defaultRowHeight="14.5"/>
  <cols>
    <col min="1" max="1" width="14.54296875" customWidth="1"/>
    <col min="2" max="2" width="40" customWidth="1"/>
    <col min="3" max="3" width="27.26953125" customWidth="1"/>
    <col min="4" max="6" width="16.36328125" customWidth="1"/>
    <col min="7" max="7" width="20" customWidth="1"/>
    <col min="8" max="8" width="16.36328125" customWidth="1"/>
    <col min="9" max="9" width="20" customWidth="1"/>
    <col min="10" max="13" width="16.36328125" customWidth="1"/>
    <col min="14" max="14" width="24.54296875" customWidth="1"/>
    <col min="15" max="15" width="16.36328125" customWidth="1"/>
    <col min="16" max="16" width="21.81640625" customWidth="1"/>
    <col min="17" max="17" width="40" customWidth="1"/>
  </cols>
  <sheetData>
    <row r="1" spans="1:17" ht="2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>
      <c r="A2" t="s">
        <v>208</v>
      </c>
      <c r="B2" s="10">
        <v>0.35</v>
      </c>
      <c r="C2" s="10">
        <v>0.3</v>
      </c>
      <c r="D2" s="10">
        <v>0.25</v>
      </c>
      <c r="E2" s="10">
        <v>0.1</v>
      </c>
      <c r="F2" s="12">
        <f>SUM(B2:E2)</f>
        <v>0.99999999999999989</v>
      </c>
    </row>
    <row r="3" spans="1:17">
      <c r="A3" s="14" t="s">
        <v>209</v>
      </c>
      <c r="B3" s="14" t="s">
        <v>210</v>
      </c>
      <c r="C3" s="14" t="s">
        <v>211</v>
      </c>
      <c r="D3" s="14" t="s">
        <v>212</v>
      </c>
      <c r="E3" s="14" t="s">
        <v>213</v>
      </c>
      <c r="F3" s="14" t="s">
        <v>214</v>
      </c>
    </row>
    <row r="5" spans="1:17">
      <c r="A5" s="15" t="s">
        <v>215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7">
      <c r="A6" t="s">
        <v>216</v>
      </c>
      <c r="B6" t="s">
        <v>1</v>
      </c>
      <c r="C6" t="s">
        <v>2</v>
      </c>
      <c r="D6" t="s">
        <v>3</v>
      </c>
      <c r="E6" t="s">
        <v>217</v>
      </c>
      <c r="F6" t="s">
        <v>6</v>
      </c>
      <c r="G6" t="s">
        <v>218</v>
      </c>
      <c r="H6" t="s">
        <v>9</v>
      </c>
      <c r="I6" t="s">
        <v>13</v>
      </c>
      <c r="J6" t="s">
        <v>210</v>
      </c>
      <c r="K6" t="s">
        <v>211</v>
      </c>
      <c r="L6" t="s">
        <v>212</v>
      </c>
      <c r="M6" t="s">
        <v>213</v>
      </c>
      <c r="N6" t="s">
        <v>219</v>
      </c>
      <c r="O6" t="s">
        <v>220</v>
      </c>
      <c r="P6" t="s">
        <v>221</v>
      </c>
      <c r="Q6" t="s">
        <v>222</v>
      </c>
    </row>
    <row r="7" spans="1:17">
      <c r="A7" t="str">
        <f t="shared" ref="A7:A38" si="0">"Block"</f>
        <v>Block</v>
      </c>
      <c r="B7" t="str">
        <f>'Block Data'!A2</f>
        <v>Block Blast!</v>
      </c>
      <c r="C7" t="str">
        <f>'Block Data'!B2</f>
        <v>Hungry Studio</v>
      </c>
      <c r="D7" s="3">
        <f>'Block Data'!C2</f>
        <v>18262736</v>
      </c>
      <c r="E7" s="4">
        <f>IF('Block Data'!E2="","",'Block Data'!E2)</f>
        <v>-4.1371999999999999E-2</v>
      </c>
      <c r="F7" s="5">
        <f>'Block Data'!F2</f>
        <v>7082.69</v>
      </c>
      <c r="G7" s="4">
        <f>IF('Block Data'!H2="","",'Block Data'!H2)</f>
        <v>-0.33786300000000002</v>
      </c>
      <c r="H7" s="6">
        <f>IF('Block Data'!I2="","",'Block Data'!I2)</f>
        <v>44654</v>
      </c>
      <c r="I7" s="16">
        <f>'Block Data'!M2</f>
        <v>0.38782195614063519</v>
      </c>
      <c r="J7" s="16">
        <f t="shared" ref="J7:J38" si="1">IFERROR(LOG10(D7+1)/LOG10(MAX($D$7:$D$79)+1)*100,0)</f>
        <v>100</v>
      </c>
      <c r="K7" s="16">
        <f t="shared" ref="K7:K38" si="2">IF(E7="",50,MAX(0,MIN(100,(E7+0.25)/1.25*100)))</f>
        <v>16.690239999999999</v>
      </c>
      <c r="L7" s="16">
        <f t="shared" ref="L7:L38" si="3">IFERROR(IF(MAX($I$7:$I$79)=0,0,LOG10(I7+1)/LOG10(MAX($I$7:$I$79)+1)*100),0)</f>
        <v>3.912663713107583</v>
      </c>
      <c r="M7" s="16">
        <f t="shared" ref="M7:M38" ca="1" si="4">IF(H7="",30,MAX(0,100-(TODAY()-H7)/1095*100))</f>
        <v>0</v>
      </c>
      <c r="N7" s="17">
        <f t="shared" ref="N7:N38" ca="1" si="5">SUMPRODUCT(J7:M7,$B$2:$E$2)</f>
        <v>40.985237928276895</v>
      </c>
      <c r="O7">
        <f t="shared" ref="O7:O38" ca="1" si="6">_xlfn.RANK.EQ(N7,$N$7:$N$79,0)</f>
        <v>39</v>
      </c>
      <c r="P7" t="s">
        <v>223</v>
      </c>
    </row>
    <row r="8" spans="1:17">
      <c r="A8" t="str">
        <f t="shared" si="0"/>
        <v>Block</v>
      </c>
      <c r="B8" t="str">
        <f>'Block Data'!A3</f>
        <v>Color Block: Combo Blast</v>
      </c>
      <c r="C8" t="str">
        <f>'Block Data'!B3</f>
        <v>Ivy Mobile</v>
      </c>
      <c r="D8" s="3">
        <f>'Block Data'!C3</f>
        <v>7436099</v>
      </c>
      <c r="E8" s="4">
        <f>IF('Block Data'!E3="","",'Block Data'!E3)</f>
        <v>-2.7893999999999999E-2</v>
      </c>
      <c r="F8" s="5">
        <f>'Block Data'!F3</f>
        <v>1543.22</v>
      </c>
      <c r="G8" s="4">
        <f>IF('Block Data'!H3="","",'Block Data'!H3)</f>
        <v>0.76796399999999998</v>
      </c>
      <c r="H8" s="6">
        <f>IF('Block Data'!I3="","",'Block Data'!I3)</f>
        <v>43572</v>
      </c>
      <c r="I8" s="16">
        <f>'Block Data'!M3</f>
        <v>0.20753085724114217</v>
      </c>
      <c r="J8" s="16">
        <f t="shared" si="1"/>
        <v>94.626219045710641</v>
      </c>
      <c r="K8" s="16">
        <f t="shared" si="2"/>
        <v>17.76848</v>
      </c>
      <c r="L8" s="16">
        <f t="shared" si="3"/>
        <v>2.2513300825423364</v>
      </c>
      <c r="M8" s="16">
        <f t="shared" ca="1" si="4"/>
        <v>0</v>
      </c>
      <c r="N8" s="17">
        <f t="shared" ca="1" si="5"/>
        <v>39.012553186634307</v>
      </c>
      <c r="O8">
        <f t="shared" ca="1" si="6"/>
        <v>46</v>
      </c>
      <c r="P8" t="s">
        <v>223</v>
      </c>
    </row>
    <row r="9" spans="1:17">
      <c r="A9" t="str">
        <f t="shared" si="0"/>
        <v>Block</v>
      </c>
      <c r="B9" t="str">
        <f>'Block Data'!A4</f>
        <v>Block Out! - Color Sort Puzzle</v>
      </c>
      <c r="C9" t="str">
        <f>'Block Data'!B4</f>
        <v>Grand Games</v>
      </c>
      <c r="D9" s="3">
        <f>'Block Data'!C4</f>
        <v>7252293</v>
      </c>
      <c r="E9" s="4">
        <f>IF('Block Data'!E4="","",'Block Data'!E4)</f>
        <v>0.29003699999999999</v>
      </c>
      <c r="F9" s="5">
        <f>'Block Data'!F4</f>
        <v>9381506</v>
      </c>
      <c r="G9" s="4">
        <f>IF('Block Data'!H4="","",'Block Data'!H4)</f>
        <v>3.0955E-2</v>
      </c>
      <c r="H9" s="6">
        <f>IF('Block Data'!I4="","",'Block Data'!I4)</f>
        <v>45930</v>
      </c>
      <c r="I9" s="16">
        <f>'Block Data'!M4</f>
        <v>1293.5916957574659</v>
      </c>
      <c r="J9" s="16">
        <f t="shared" si="1"/>
        <v>94.47652929429087</v>
      </c>
      <c r="K9" s="16">
        <f t="shared" si="2"/>
        <v>43.202960000000004</v>
      </c>
      <c r="L9" s="16">
        <f t="shared" si="3"/>
        <v>85.550537388712527</v>
      </c>
      <c r="M9" s="16">
        <f t="shared" ca="1" si="4"/>
        <v>70.593607305936075</v>
      </c>
      <c r="N9" s="17">
        <f t="shared" ca="1" si="5"/>
        <v>74.474668330773554</v>
      </c>
      <c r="O9">
        <f t="shared" ca="1" si="6"/>
        <v>1</v>
      </c>
      <c r="P9" t="s">
        <v>223</v>
      </c>
    </row>
    <row r="10" spans="1:17">
      <c r="A10" t="str">
        <f t="shared" si="0"/>
        <v>Block</v>
      </c>
      <c r="B10" t="str">
        <f>'Block Data'!A5</f>
        <v>Block Crush!</v>
      </c>
      <c r="C10" t="str">
        <f>'Block Data'!B5</f>
        <v>Wonderful Studio</v>
      </c>
      <c r="D10" s="3">
        <f>'Block Data'!C5</f>
        <v>3252846</v>
      </c>
      <c r="E10" s="4">
        <f>IF('Block Data'!E5="","",'Block Data'!E5)</f>
        <v>0.40756100000000001</v>
      </c>
      <c r="F10" s="5">
        <f>'Block Data'!F5</f>
        <v>0</v>
      </c>
      <c r="G10" s="4" t="str">
        <f>IF('Block Data'!H5="","",'Block Data'!H5)</f>
        <v/>
      </c>
      <c r="H10" s="6">
        <f>IF('Block Data'!I5="","",'Block Data'!I5)</f>
        <v>44544</v>
      </c>
      <c r="I10" s="16">
        <f>'Block Data'!M5</f>
        <v>0</v>
      </c>
      <c r="J10" s="16">
        <f t="shared" si="1"/>
        <v>89.681258251265362</v>
      </c>
      <c r="K10" s="16">
        <f t="shared" si="2"/>
        <v>52.604880000000009</v>
      </c>
      <c r="L10" s="16">
        <f t="shared" si="3"/>
        <v>0</v>
      </c>
      <c r="M10" s="16">
        <f t="shared" ca="1" si="4"/>
        <v>0</v>
      </c>
      <c r="N10" s="17">
        <f t="shared" ca="1" si="5"/>
        <v>47.169904387942879</v>
      </c>
      <c r="O10">
        <f t="shared" ca="1" si="6"/>
        <v>27</v>
      </c>
      <c r="P10" t="s">
        <v>223</v>
      </c>
    </row>
    <row r="11" spans="1:17">
      <c r="A11" t="str">
        <f t="shared" si="0"/>
        <v>Block</v>
      </c>
      <c r="B11" t="str">
        <f>'Block Data'!A6</f>
        <v>Color Block Jam</v>
      </c>
      <c r="C11" t="str">
        <f>'Block Data'!B6</f>
        <v>Rollic Games</v>
      </c>
      <c r="D11" s="3">
        <f>'Block Data'!C6</f>
        <v>1639850</v>
      </c>
      <c r="E11" s="4">
        <f>IF('Block Data'!E6="","",'Block Data'!E6)</f>
        <v>-0.376467</v>
      </c>
      <c r="F11" s="5">
        <f>'Block Data'!F6</f>
        <v>7119923.3300000001</v>
      </c>
      <c r="G11" s="4">
        <f>IF('Block Data'!H6="","",'Block Data'!H6)</f>
        <v>-2.3352000000000001E-2</v>
      </c>
      <c r="H11" s="6">
        <f>IF('Block Data'!I6="","",'Block Data'!I6)</f>
        <v>45471</v>
      </c>
      <c r="I11" s="16">
        <f>'Block Data'!M6</f>
        <v>4341.8137817483312</v>
      </c>
      <c r="J11" s="16">
        <f t="shared" si="1"/>
        <v>85.584906955563469</v>
      </c>
      <c r="K11" s="16">
        <f t="shared" si="2"/>
        <v>0</v>
      </c>
      <c r="L11" s="16">
        <f t="shared" si="3"/>
        <v>100</v>
      </c>
      <c r="M11" s="16">
        <f t="shared" ca="1" si="4"/>
        <v>28.675799086757991</v>
      </c>
      <c r="N11" s="17">
        <f t="shared" ca="1" si="5"/>
        <v>57.822297343123012</v>
      </c>
      <c r="O11">
        <f t="shared" ca="1" si="6"/>
        <v>8</v>
      </c>
      <c r="P11" t="s">
        <v>223</v>
      </c>
    </row>
    <row r="12" spans="1:17">
      <c r="A12" t="str">
        <f t="shared" si="0"/>
        <v>Block</v>
      </c>
      <c r="B12" t="str">
        <f>'Block Data'!A7</f>
        <v>Block Color Mania, Puzzle Game</v>
      </c>
      <c r="C12" t="str">
        <f>'Block Data'!B7</f>
        <v>Guru Puzzle Game</v>
      </c>
      <c r="D12" s="3">
        <f>'Block Data'!C7</f>
        <v>1405074</v>
      </c>
      <c r="E12" s="4">
        <f>IF('Block Data'!E7="","",'Block Data'!E7)</f>
        <v>-0.17850199999999999</v>
      </c>
      <c r="F12" s="5">
        <f>'Block Data'!F7</f>
        <v>8434.1299999999992</v>
      </c>
      <c r="G12" s="4">
        <f>IF('Block Data'!H7="","",'Block Data'!H7)</f>
        <v>-7.9221E-2</v>
      </c>
      <c r="H12" s="6">
        <f>IF('Block Data'!I7="","",'Block Data'!I7)</f>
        <v>45986</v>
      </c>
      <c r="I12" s="16">
        <f>'Block Data'!M7</f>
        <v>6.0026233493751926</v>
      </c>
      <c r="J12" s="16">
        <f t="shared" si="1"/>
        <v>84.660796596185932</v>
      </c>
      <c r="K12" s="16">
        <f t="shared" si="2"/>
        <v>5.7198400000000005</v>
      </c>
      <c r="L12" s="16">
        <f t="shared" si="3"/>
        <v>23.235676994555678</v>
      </c>
      <c r="M12" s="16">
        <f t="shared" ca="1" si="4"/>
        <v>75.707762557077629</v>
      </c>
      <c r="N12" s="17">
        <f t="shared" ca="1" si="5"/>
        <v>44.726926313011759</v>
      </c>
      <c r="O12">
        <f t="shared" ca="1" si="6"/>
        <v>32</v>
      </c>
      <c r="P12" t="s">
        <v>223</v>
      </c>
    </row>
    <row r="13" spans="1:17">
      <c r="A13" t="str">
        <f t="shared" si="0"/>
        <v>Block</v>
      </c>
      <c r="B13" t="str">
        <f>'Block Data'!A8</f>
        <v>Block Puzzle Gem: Jewel Blast</v>
      </c>
      <c r="C13" t="str">
        <f>'Block Data'!B8</f>
        <v>Lynn Mobile Puzzle Games</v>
      </c>
      <c r="D13" s="3">
        <f>'Block Data'!C8</f>
        <v>996806</v>
      </c>
      <c r="E13" s="4">
        <f>IF('Block Data'!E8="","",'Block Data'!E8)</f>
        <v>-0.121472</v>
      </c>
      <c r="F13" s="5">
        <f>'Block Data'!F8</f>
        <v>114.74</v>
      </c>
      <c r="G13" s="4">
        <f>IF('Block Data'!H8="","",'Block Data'!H8)</f>
        <v>-0.45869700000000002</v>
      </c>
      <c r="H13" s="6">
        <f>IF('Block Data'!I8="","",'Block Data'!I8)</f>
        <v>43632</v>
      </c>
      <c r="I13" s="16">
        <f>'Block Data'!M8</f>
        <v>0.11510765384638535</v>
      </c>
      <c r="J13" s="16">
        <f t="shared" si="1"/>
        <v>82.607679813251096</v>
      </c>
      <c r="K13" s="16">
        <f t="shared" si="2"/>
        <v>10.282240000000002</v>
      </c>
      <c r="L13" s="16">
        <f t="shared" si="3"/>
        <v>1.300708429069509</v>
      </c>
      <c r="M13" s="16">
        <f t="shared" ca="1" si="4"/>
        <v>0</v>
      </c>
      <c r="N13" s="17">
        <f t="shared" ca="1" si="5"/>
        <v>32.322537041905257</v>
      </c>
      <c r="O13">
        <f t="shared" ca="1" si="6"/>
        <v>61</v>
      </c>
      <c r="P13" t="s">
        <v>223</v>
      </c>
    </row>
    <row r="14" spans="1:17">
      <c r="A14" t="str">
        <f t="shared" si="0"/>
        <v>Block</v>
      </c>
      <c r="B14" t="str">
        <f>'Block Data'!A9</f>
        <v>Maze Escape: Rolling ball game</v>
      </c>
      <c r="C14" t="str">
        <f>'Block Data'!B9</f>
        <v>Fiogonia</v>
      </c>
      <c r="D14" s="3">
        <f>'Block Data'!C9</f>
        <v>846191</v>
      </c>
      <c r="E14" s="4">
        <f>IF('Block Data'!E9="","",'Block Data'!E9)</f>
        <v>52.969704999999998</v>
      </c>
      <c r="F14" s="5">
        <f>'Block Data'!F9</f>
        <v>810.09</v>
      </c>
      <c r="G14" s="4">
        <f>IF('Block Data'!H9="","",'Block Data'!H9)</f>
        <v>8.2613470000000007</v>
      </c>
      <c r="H14" s="6">
        <f>IF('Block Data'!I9="","",'Block Data'!I9)</f>
        <v>45905</v>
      </c>
      <c r="I14" s="16">
        <f>'Block Data'!M9</f>
        <v>0.95733705510930744</v>
      </c>
      <c r="J14" s="16">
        <f t="shared" si="1"/>
        <v>81.627971506452951</v>
      </c>
      <c r="K14" s="16">
        <f t="shared" si="2"/>
        <v>100</v>
      </c>
      <c r="L14" s="16">
        <f t="shared" si="3"/>
        <v>8.0177009864322883</v>
      </c>
      <c r="M14" s="16">
        <f t="shared" ca="1" si="4"/>
        <v>68.310502283105023</v>
      </c>
      <c r="N14" s="17">
        <f t="shared" ca="1" si="5"/>
        <v>67.405265502177116</v>
      </c>
      <c r="O14">
        <f t="shared" ca="1" si="6"/>
        <v>3</v>
      </c>
      <c r="P14" t="s">
        <v>223</v>
      </c>
    </row>
    <row r="15" spans="1:17">
      <c r="A15" t="str">
        <f t="shared" si="0"/>
        <v>Block</v>
      </c>
      <c r="B15" t="str">
        <f>'Block Data'!A10</f>
        <v>Block Puzzle</v>
      </c>
      <c r="C15" t="str">
        <f>'Block Data'!B10</f>
        <v>LinkDesks</v>
      </c>
      <c r="D15" s="3">
        <f>'Block Data'!C10</f>
        <v>634004</v>
      </c>
      <c r="E15" s="4">
        <f>IF('Block Data'!E10="","",'Block Data'!E10)</f>
        <v>-6.7116999999999996E-2</v>
      </c>
      <c r="F15" s="5">
        <f>'Block Data'!F10</f>
        <v>12473.96</v>
      </c>
      <c r="G15" s="4">
        <f>IF('Block Data'!H10="","",'Block Data'!H10)</f>
        <v>-0.19359799999999999</v>
      </c>
      <c r="H15" s="6">
        <f>IF('Block Data'!I10="","",'Block Data'!I10)</f>
        <v>43238</v>
      </c>
      <c r="I15" s="16">
        <f>'Block Data'!M10</f>
        <v>19.674891641062199</v>
      </c>
      <c r="J15" s="16">
        <f t="shared" si="1"/>
        <v>79.901398552747025</v>
      </c>
      <c r="K15" s="16">
        <f t="shared" si="2"/>
        <v>14.63064</v>
      </c>
      <c r="L15" s="16">
        <f t="shared" si="3"/>
        <v>36.160692002511581</v>
      </c>
      <c r="M15" s="16">
        <f t="shared" ca="1" si="4"/>
        <v>0</v>
      </c>
      <c r="N15" s="17">
        <f t="shared" ca="1" si="5"/>
        <v>41.394854494089351</v>
      </c>
      <c r="O15">
        <f t="shared" ca="1" si="6"/>
        <v>36</v>
      </c>
      <c r="P15" t="s">
        <v>223</v>
      </c>
    </row>
    <row r="16" spans="1:17">
      <c r="A16" t="str">
        <f t="shared" si="0"/>
        <v>Block</v>
      </c>
      <c r="B16" t="str">
        <f>'Block Data'!A11</f>
        <v>Woodoku Blast</v>
      </c>
      <c r="C16" t="str">
        <f>'Block Data'!B11</f>
        <v>Tripledot Studios</v>
      </c>
      <c r="D16" s="3">
        <f>'Block Data'!C11</f>
        <v>537911</v>
      </c>
      <c r="E16" s="4">
        <f>IF('Block Data'!E11="","",'Block Data'!E11)</f>
        <v>0.122444</v>
      </c>
      <c r="F16" s="5">
        <f>'Block Data'!F11</f>
        <v>3688.61</v>
      </c>
      <c r="G16" s="4">
        <f>IF('Block Data'!H11="","",'Block Data'!H11)</f>
        <v>9.584854</v>
      </c>
      <c r="H16" s="6">
        <f>IF('Block Data'!I11="","",'Block Data'!I11)</f>
        <v>45582</v>
      </c>
      <c r="I16" s="16">
        <f>'Block Data'!M11</f>
        <v>6.8572868002327523</v>
      </c>
      <c r="J16" s="16">
        <f t="shared" si="1"/>
        <v>78.918395005151908</v>
      </c>
      <c r="K16" s="16">
        <f t="shared" si="2"/>
        <v>29.795519999999996</v>
      </c>
      <c r="L16" s="16">
        <f t="shared" si="3"/>
        <v>24.610470385823064</v>
      </c>
      <c r="M16" s="16">
        <f t="shared" ca="1" si="4"/>
        <v>38.812785388127857</v>
      </c>
      <c r="N16" s="17">
        <f t="shared" ca="1" si="5"/>
        <v>46.59399038707172</v>
      </c>
      <c r="O16">
        <f t="shared" ca="1" si="6"/>
        <v>28</v>
      </c>
      <c r="P16" t="s">
        <v>223</v>
      </c>
    </row>
    <row r="17" spans="1:16">
      <c r="A17" t="str">
        <f t="shared" si="0"/>
        <v>Block</v>
      </c>
      <c r="B17" t="str">
        <f>'Block Data'!A12</f>
        <v>Fusion Blocks - A Puzzle Game</v>
      </c>
      <c r="C17" t="str">
        <f>'Block Data'!B12</f>
        <v>Oogway Apps</v>
      </c>
      <c r="D17" s="3">
        <f>'Block Data'!C12</f>
        <v>525347</v>
      </c>
      <c r="E17" s="4">
        <f>IF('Block Data'!E12="","",'Block Data'!E12)</f>
        <v>0.50476600000000005</v>
      </c>
      <c r="F17" s="5">
        <f>'Block Data'!F12</f>
        <v>2845.68</v>
      </c>
      <c r="G17" s="4">
        <f>IF('Block Data'!H12="","",'Block Data'!H12)</f>
        <v>0.11920500000000001</v>
      </c>
      <c r="H17" s="6">
        <f>IF('Block Data'!I12="","",'Block Data'!I12)</f>
        <v>44728</v>
      </c>
      <c r="I17" s="16">
        <f>'Block Data'!M12</f>
        <v>5.4167626349822111</v>
      </c>
      <c r="J17" s="16">
        <f t="shared" si="1"/>
        <v>78.777046020733493</v>
      </c>
      <c r="K17" s="16">
        <f t="shared" si="2"/>
        <v>60.381280000000004</v>
      </c>
      <c r="L17" s="16">
        <f t="shared" si="3"/>
        <v>22.192598940579238</v>
      </c>
      <c r="M17" s="16">
        <f t="shared" ca="1" si="4"/>
        <v>0</v>
      </c>
      <c r="N17" s="17">
        <f t="shared" ca="1" si="5"/>
        <v>51.234499842401533</v>
      </c>
      <c r="O17">
        <f t="shared" ca="1" si="6"/>
        <v>17</v>
      </c>
      <c r="P17" t="s">
        <v>223</v>
      </c>
    </row>
    <row r="18" spans="1:16">
      <c r="A18" t="str">
        <f t="shared" si="0"/>
        <v>Block</v>
      </c>
      <c r="B18" t="str">
        <f>'Block Data'!A13</f>
        <v>Block Puzzle Classic</v>
      </c>
      <c r="C18" t="str">
        <f>'Block Data'!B13</f>
        <v>Sofish</v>
      </c>
      <c r="D18" s="3">
        <f>'Block Data'!C13</f>
        <v>439916</v>
      </c>
      <c r="E18" s="4">
        <f>IF('Block Data'!E13="","",'Block Data'!E13)</f>
        <v>-0.23896500000000001</v>
      </c>
      <c r="F18" s="5">
        <f>'Block Data'!F13</f>
        <v>0</v>
      </c>
      <c r="G18" s="4" t="str">
        <f>IF('Block Data'!H13="","",'Block Data'!H13)</f>
        <v/>
      </c>
      <c r="H18" s="6">
        <f>IF('Block Data'!I13="","",'Block Data'!I13)</f>
        <v>45898</v>
      </c>
      <c r="I18" s="16">
        <f>'Block Data'!M13</f>
        <v>0</v>
      </c>
      <c r="J18" s="16">
        <f t="shared" si="1"/>
        <v>77.715617402654559</v>
      </c>
      <c r="K18" s="16">
        <f t="shared" si="2"/>
        <v>0.88279999999999925</v>
      </c>
      <c r="L18" s="16">
        <f t="shared" si="3"/>
        <v>0</v>
      </c>
      <c r="M18" s="16">
        <f t="shared" ca="1" si="4"/>
        <v>67.671232876712338</v>
      </c>
      <c r="N18" s="17">
        <f t="shared" ca="1" si="5"/>
        <v>34.23242937860033</v>
      </c>
      <c r="O18">
        <f t="shared" ca="1" si="6"/>
        <v>57</v>
      </c>
      <c r="P18" t="s">
        <v>223</v>
      </c>
    </row>
    <row r="19" spans="1:16">
      <c r="A19" t="str">
        <f t="shared" si="0"/>
        <v>Block</v>
      </c>
      <c r="B19" t="str">
        <f>'Block Data'!A14</f>
        <v>Block Blitz: Puzzle Adventure</v>
      </c>
      <c r="C19" t="str">
        <f>'Block Data'!B14</f>
        <v>Bluetile Games</v>
      </c>
      <c r="D19" s="3">
        <f>'Block Data'!C14</f>
        <v>376281</v>
      </c>
      <c r="E19" s="4">
        <f>IF('Block Data'!E14="","",'Block Data'!E14)</f>
        <v>-0.27231499999999997</v>
      </c>
      <c r="F19" s="5">
        <f>'Block Data'!F14</f>
        <v>0</v>
      </c>
      <c r="G19" s="4" t="str">
        <f>IF('Block Data'!H14="","",'Block Data'!H14)</f>
        <v/>
      </c>
      <c r="H19" s="6">
        <f>IF('Block Data'!I14="","",'Block Data'!I14)</f>
        <v>46000</v>
      </c>
      <c r="I19" s="16">
        <f>'Block Data'!M14</f>
        <v>0</v>
      </c>
      <c r="J19" s="16">
        <f t="shared" si="1"/>
        <v>76.781145381275934</v>
      </c>
      <c r="K19" s="16">
        <f t="shared" si="2"/>
        <v>0</v>
      </c>
      <c r="L19" s="16">
        <f t="shared" si="3"/>
        <v>0</v>
      </c>
      <c r="M19" s="16">
        <f t="shared" ca="1" si="4"/>
        <v>76.986301369863014</v>
      </c>
      <c r="N19" s="17">
        <f t="shared" ca="1" si="5"/>
        <v>34.572031020432874</v>
      </c>
      <c r="O19">
        <f t="shared" ca="1" si="6"/>
        <v>55</v>
      </c>
      <c r="P19" t="s">
        <v>223</v>
      </c>
    </row>
    <row r="20" spans="1:16">
      <c r="A20" t="str">
        <f t="shared" si="0"/>
        <v>Block</v>
      </c>
      <c r="B20" t="str">
        <f>'Block Data'!A15</f>
        <v>Color Block Run - Puzzle Game</v>
      </c>
      <c r="C20" t="str">
        <f>'Block Data'!B15</f>
        <v>Play2Ever Games</v>
      </c>
      <c r="D20" s="3">
        <f>'Block Data'!C15</f>
        <v>373039</v>
      </c>
      <c r="E20" s="4">
        <f>IF('Block Data'!E15="","",'Block Data'!E15)</f>
        <v>-8.974E-2</v>
      </c>
      <c r="F20" s="5">
        <f>'Block Data'!F15</f>
        <v>309030.46999999997</v>
      </c>
      <c r="G20" s="4">
        <f>IF('Block Data'!H15="","",'Block Data'!H15)</f>
        <v>2.6080000000000001E-3</v>
      </c>
      <c r="H20" s="6">
        <f>IF('Block Data'!I15="","",'Block Data'!I15)</f>
        <v>45851</v>
      </c>
      <c r="I20" s="16">
        <f>'Block Data'!M15</f>
        <v>828.41330263055602</v>
      </c>
      <c r="J20" s="16">
        <f t="shared" si="1"/>
        <v>76.72939288975725</v>
      </c>
      <c r="K20" s="16">
        <f t="shared" si="2"/>
        <v>12.820800000000002</v>
      </c>
      <c r="L20" s="16">
        <f t="shared" si="3"/>
        <v>80.235144822843395</v>
      </c>
      <c r="M20" s="16">
        <f t="shared" ca="1" si="4"/>
        <v>63.378995433789953</v>
      </c>
      <c r="N20" s="17">
        <f t="shared" ca="1" si="5"/>
        <v>57.098213260504878</v>
      </c>
      <c r="O20">
        <f t="shared" ca="1" si="6"/>
        <v>10</v>
      </c>
      <c r="P20" t="s">
        <v>223</v>
      </c>
    </row>
    <row r="21" spans="1:16">
      <c r="A21" t="str">
        <f t="shared" si="0"/>
        <v>Block</v>
      </c>
      <c r="B21" t="str">
        <f>'Block Data'!A16</f>
        <v>Block Puzzle Wood Blast</v>
      </c>
      <c r="C21" t="str">
        <f>'Block Data'!B16</f>
        <v>Wood Puzzle Sudoku Games</v>
      </c>
      <c r="D21" s="3">
        <f>'Block Data'!C16</f>
        <v>352497</v>
      </c>
      <c r="E21" s="4">
        <f>IF('Block Data'!E16="","",'Block Data'!E16)</f>
        <v>-5.5040000000000002E-3</v>
      </c>
      <c r="F21" s="5">
        <f>'Block Data'!F16</f>
        <v>295.32</v>
      </c>
      <c r="G21" s="4">
        <f>IF('Block Data'!H16="","",'Block Data'!H16)</f>
        <v>-0.144843</v>
      </c>
      <c r="H21" s="6">
        <f>IF('Block Data'!I16="","",'Block Data'!I16)</f>
        <v>44102</v>
      </c>
      <c r="I21" s="16">
        <f>'Block Data'!M16</f>
        <v>0.83779436420735487</v>
      </c>
      <c r="J21" s="16">
        <f t="shared" si="1"/>
        <v>76.390640261663705</v>
      </c>
      <c r="K21" s="16">
        <f t="shared" si="2"/>
        <v>19.55968</v>
      </c>
      <c r="L21" s="16">
        <f t="shared" si="3"/>
        <v>7.2653528854723008</v>
      </c>
      <c r="M21" s="16">
        <f t="shared" ca="1" si="4"/>
        <v>0</v>
      </c>
      <c r="N21" s="17">
        <f t="shared" ca="1" si="5"/>
        <v>34.420966312950377</v>
      </c>
      <c r="O21">
        <f t="shared" ca="1" si="6"/>
        <v>56</v>
      </c>
      <c r="P21" t="s">
        <v>223</v>
      </c>
    </row>
    <row r="22" spans="1:16">
      <c r="A22" t="str">
        <f t="shared" si="0"/>
        <v>Block</v>
      </c>
      <c r="B22" t="str">
        <f>'Block Data'!A17</f>
        <v>Block-Tok: Puzzle Game</v>
      </c>
      <c r="C22" t="str">
        <f>'Block Data'!B17</f>
        <v>NewPubCo</v>
      </c>
      <c r="D22" s="3">
        <f>'Block Data'!C17</f>
        <v>347438</v>
      </c>
      <c r="E22" s="4">
        <f>IF('Block Data'!E17="","",'Block Data'!E17)</f>
        <v>-7.0203000000000002E-2</v>
      </c>
      <c r="F22" s="5">
        <f>'Block Data'!F17</f>
        <v>0</v>
      </c>
      <c r="G22" s="4" t="str">
        <f>IF('Block Data'!H17="","",'Block Data'!H17)</f>
        <v/>
      </c>
      <c r="H22" s="6">
        <f>IF('Block Data'!I17="","",'Block Data'!I17)</f>
        <v>45183</v>
      </c>
      <c r="I22" s="16">
        <f>'Block Data'!M17</f>
        <v>0</v>
      </c>
      <c r="J22" s="16">
        <f t="shared" si="1"/>
        <v>76.304183828068176</v>
      </c>
      <c r="K22" s="16">
        <f t="shared" si="2"/>
        <v>14.383759999999999</v>
      </c>
      <c r="L22" s="16">
        <f t="shared" si="3"/>
        <v>0</v>
      </c>
      <c r="M22" s="16">
        <f t="shared" ca="1" si="4"/>
        <v>2.3744292237442863</v>
      </c>
      <c r="N22" s="17">
        <f t="shared" ca="1" si="5"/>
        <v>31.259035262198289</v>
      </c>
      <c r="O22">
        <f t="shared" ca="1" si="6"/>
        <v>64</v>
      </c>
      <c r="P22" t="s">
        <v>223</v>
      </c>
    </row>
    <row r="23" spans="1:16">
      <c r="A23" t="str">
        <f t="shared" si="0"/>
        <v>Block</v>
      </c>
      <c r="B23" t="str">
        <f>'Block Data'!A18</f>
        <v>Puzzle Game</v>
      </c>
      <c r="C23" t="str">
        <f>'Block Data'!B18</f>
        <v>Block Puzzle Games 2018</v>
      </c>
      <c r="D23" s="3">
        <f>'Block Data'!C18</f>
        <v>314663</v>
      </c>
      <c r="E23" s="4">
        <f>IF('Block Data'!E18="","",'Block Data'!E18)</f>
        <v>-0.152528</v>
      </c>
      <c r="F23" s="5">
        <f>'Block Data'!F18</f>
        <v>0</v>
      </c>
      <c r="G23" s="4" t="str">
        <f>IF('Block Data'!H18="","",'Block Data'!H18)</f>
        <v/>
      </c>
      <c r="H23" s="6">
        <f>IF('Block Data'!I18="","",'Block Data'!I18)</f>
        <v>43622</v>
      </c>
      <c r="I23" s="16">
        <f>'Block Data'!M18</f>
        <v>0</v>
      </c>
      <c r="J23" s="16">
        <f t="shared" si="1"/>
        <v>75.711591154978066</v>
      </c>
      <c r="K23" s="16">
        <f t="shared" si="2"/>
        <v>7.7977600000000011</v>
      </c>
      <c r="L23" s="16">
        <f t="shared" si="3"/>
        <v>0</v>
      </c>
      <c r="M23" s="16">
        <f t="shared" ca="1" si="4"/>
        <v>0</v>
      </c>
      <c r="N23" s="17">
        <f t="shared" ca="1" si="5"/>
        <v>28.838384904242325</v>
      </c>
      <c r="O23">
        <f t="shared" ca="1" si="6"/>
        <v>70</v>
      </c>
      <c r="P23" t="s">
        <v>223</v>
      </c>
    </row>
    <row r="24" spans="1:16">
      <c r="A24" t="str">
        <f t="shared" si="0"/>
        <v>Block</v>
      </c>
      <c r="B24" t="str">
        <f>'Block Data'!A19</f>
        <v>Block Blast Puzzle Mania</v>
      </c>
      <c r="C24" t="str">
        <f>'Block Data'!B19</f>
        <v>Bibota</v>
      </c>
      <c r="D24" s="3">
        <f>'Block Data'!C19</f>
        <v>292250</v>
      </c>
      <c r="E24" s="4">
        <f>IF('Block Data'!E19="","",'Block Data'!E19)</f>
        <v>-0.40422400000000003</v>
      </c>
      <c r="F24" s="5">
        <f>'Block Data'!F19</f>
        <v>4.9800000000000004</v>
      </c>
      <c r="G24" s="4">
        <f>IF('Block Data'!H19="","",'Block Data'!H19)</f>
        <v>-0.37437199999999998</v>
      </c>
      <c r="H24" s="6">
        <f>IF('Block Data'!I19="","",'Block Data'!I19)</f>
        <v>46007</v>
      </c>
      <c r="I24" s="16">
        <f>'Block Data'!M19</f>
        <v>1.7040205303678356E-2</v>
      </c>
      <c r="J24" s="16">
        <f t="shared" si="1"/>
        <v>75.269660945583468</v>
      </c>
      <c r="K24" s="16">
        <f t="shared" si="2"/>
        <v>0</v>
      </c>
      <c r="L24" s="16">
        <f t="shared" si="3"/>
        <v>0.20172026310749427</v>
      </c>
      <c r="M24" s="16">
        <f t="shared" ca="1" si="4"/>
        <v>77.625570776255714</v>
      </c>
      <c r="N24" s="17">
        <f t="shared" ca="1" si="5"/>
        <v>34.157368474356659</v>
      </c>
      <c r="O24">
        <f t="shared" ca="1" si="6"/>
        <v>58</v>
      </c>
      <c r="P24" t="s">
        <v>223</v>
      </c>
    </row>
    <row r="25" spans="1:16">
      <c r="A25" t="str">
        <f t="shared" si="0"/>
        <v>Block</v>
      </c>
      <c r="B25" t="str">
        <f>'Block Data'!A20</f>
        <v>Block Puzzle</v>
      </c>
      <c r="C25" t="str">
        <f>'Block Data'!B20</f>
        <v>Jinbing Wang</v>
      </c>
      <c r="D25" s="3">
        <f>'Block Data'!C20</f>
        <v>275351</v>
      </c>
      <c r="E25" s="4">
        <f>IF('Block Data'!E20="","",'Block Data'!E20)</f>
        <v>7.4791999999999997E-2</v>
      </c>
      <c r="F25" s="5">
        <f>'Block Data'!F20</f>
        <v>0</v>
      </c>
      <c r="G25" s="4" t="str">
        <f>IF('Block Data'!H20="","",'Block Data'!H20)</f>
        <v/>
      </c>
      <c r="H25" s="6">
        <f>IF('Block Data'!I20="","",'Block Data'!I20)</f>
        <v>42739</v>
      </c>
      <c r="I25" s="16">
        <f>'Block Data'!M20</f>
        <v>0</v>
      </c>
      <c r="J25" s="16">
        <f t="shared" si="1"/>
        <v>74.91343239854929</v>
      </c>
      <c r="K25" s="16">
        <f t="shared" si="2"/>
        <v>25.983360000000001</v>
      </c>
      <c r="L25" s="16">
        <f t="shared" si="3"/>
        <v>0</v>
      </c>
      <c r="M25" s="16">
        <f t="shared" ca="1" si="4"/>
        <v>0</v>
      </c>
      <c r="N25" s="17">
        <f t="shared" ca="1" si="5"/>
        <v>34.014709339492249</v>
      </c>
      <c r="O25">
        <f t="shared" ca="1" si="6"/>
        <v>59</v>
      </c>
      <c r="P25" t="s">
        <v>223</v>
      </c>
    </row>
    <row r="26" spans="1:16">
      <c r="A26" t="str">
        <f t="shared" si="0"/>
        <v>Block</v>
      </c>
      <c r="B26" t="str">
        <f>'Block Data'!A21</f>
        <v>Block Buster - No Timer</v>
      </c>
      <c r="C26" t="str">
        <f>'Block Data'!B21</f>
        <v>Lion Studios</v>
      </c>
      <c r="D26" s="3">
        <f>'Block Data'!C21</f>
        <v>266660</v>
      </c>
      <c r="E26" s="4">
        <f>IF('Block Data'!E21="","",'Block Data'!E21)</f>
        <v>-0.107976</v>
      </c>
      <c r="F26" s="5">
        <f>'Block Data'!F21</f>
        <v>305918.81</v>
      </c>
      <c r="G26" s="4">
        <f>IF('Block Data'!H21="","",'Block Data'!H21)</f>
        <v>0.41358499999999998</v>
      </c>
      <c r="H26" s="6">
        <f>IF('Block Data'!I21="","",'Block Data'!I21)</f>
        <v>45801</v>
      </c>
      <c r="I26" s="16">
        <f>'Block Data'!M21</f>
        <v>1147.2242181054526</v>
      </c>
      <c r="J26" s="16">
        <f t="shared" si="1"/>
        <v>74.721617958813098</v>
      </c>
      <c r="K26" s="16">
        <f t="shared" si="2"/>
        <v>11.36192</v>
      </c>
      <c r="L26" s="16">
        <f t="shared" si="3"/>
        <v>84.118173690349124</v>
      </c>
      <c r="M26" s="16">
        <f t="shared" ca="1" si="4"/>
        <v>58.81278538812785</v>
      </c>
      <c r="N26" s="17">
        <f t="shared" ca="1" si="5"/>
        <v>56.471964246984648</v>
      </c>
      <c r="O26">
        <f t="shared" ca="1" si="6"/>
        <v>11</v>
      </c>
      <c r="P26" t="s">
        <v>223</v>
      </c>
    </row>
    <row r="27" spans="1:16">
      <c r="A27" t="str">
        <f t="shared" si="0"/>
        <v>Block</v>
      </c>
      <c r="B27" t="str">
        <f>'Block Data'!A22</f>
        <v>Block Blitz: Gems Puzzle</v>
      </c>
      <c r="C27" t="str">
        <f>'Block Data'!B22</f>
        <v>Hypergames</v>
      </c>
      <c r="D27" s="3">
        <f>'Block Data'!C22</f>
        <v>254220</v>
      </c>
      <c r="E27" s="4">
        <f>IF('Block Data'!E22="","",'Block Data'!E22)</f>
        <v>3.0853999999999999E-2</v>
      </c>
      <c r="F27" s="5">
        <f>'Block Data'!F22</f>
        <v>1889.16</v>
      </c>
      <c r="G27" s="4">
        <f>IF('Block Data'!H22="","",'Block Data'!H22)</f>
        <v>-0.11915000000000001</v>
      </c>
      <c r="H27" s="6">
        <f>IF('Block Data'!I22="","",'Block Data'!I22)</f>
        <v>45629</v>
      </c>
      <c r="I27" s="16">
        <f>'Block Data'!M22</f>
        <v>7.4312013216898753</v>
      </c>
      <c r="J27" s="16">
        <f t="shared" si="1"/>
        <v>74.435893349548039</v>
      </c>
      <c r="K27" s="16">
        <f t="shared" si="2"/>
        <v>22.468319999999999</v>
      </c>
      <c r="L27" s="16">
        <f t="shared" si="3"/>
        <v>25.45210808495742</v>
      </c>
      <c r="M27" s="16">
        <f t="shared" ca="1" si="4"/>
        <v>43.105022831050235</v>
      </c>
      <c r="N27" s="17">
        <f t="shared" ca="1" si="5"/>
        <v>43.466587976686185</v>
      </c>
      <c r="O27">
        <f t="shared" ca="1" si="6"/>
        <v>33</v>
      </c>
      <c r="P27" t="s">
        <v>223</v>
      </c>
    </row>
    <row r="28" spans="1:16">
      <c r="A28" t="str">
        <f t="shared" si="0"/>
        <v>Block</v>
      </c>
      <c r="B28" t="str">
        <f>'Block Data'!A23</f>
        <v>Block Mania: Block Pop Blast</v>
      </c>
      <c r="C28" t="str">
        <f>'Block Data'!B23</f>
        <v>Devio Studio</v>
      </c>
      <c r="D28" s="3">
        <f>'Block Data'!C23</f>
        <v>251806</v>
      </c>
      <c r="E28" s="4" t="str">
        <f>IF('Block Data'!E23="","",'Block Data'!E23)</f>
        <v/>
      </c>
      <c r="F28" s="5">
        <f>'Block Data'!F23</f>
        <v>0</v>
      </c>
      <c r="G28" s="4" t="str">
        <f>IF('Block Data'!H23="","",'Block Data'!H23)</f>
        <v/>
      </c>
      <c r="H28" s="6">
        <f>IF('Block Data'!I23="","",'Block Data'!I23)</f>
        <v>46204</v>
      </c>
      <c r="I28" s="16">
        <f>'Block Data'!M23</f>
        <v>0</v>
      </c>
      <c r="J28" s="16">
        <f t="shared" si="1"/>
        <v>74.378830948988096</v>
      </c>
      <c r="K28" s="16">
        <f t="shared" si="2"/>
        <v>50</v>
      </c>
      <c r="L28" s="16">
        <f t="shared" si="3"/>
        <v>0</v>
      </c>
      <c r="M28" s="16">
        <f t="shared" ca="1" si="4"/>
        <v>95.61643835616438</v>
      </c>
      <c r="N28" s="17">
        <f t="shared" ca="1" si="5"/>
        <v>50.594234667762265</v>
      </c>
      <c r="O28">
        <f t="shared" ca="1" si="6"/>
        <v>18</v>
      </c>
      <c r="P28" t="s">
        <v>223</v>
      </c>
    </row>
    <row r="29" spans="1:16">
      <c r="A29" t="str">
        <f t="shared" si="0"/>
        <v>Block</v>
      </c>
      <c r="B29" t="str">
        <f>'Block Data'!A24</f>
        <v>Blockudoku: Block Puzzle Game</v>
      </c>
      <c r="C29" t="str">
        <f>'Block Data'!B24</f>
        <v>Easybrain</v>
      </c>
      <c r="D29" s="3">
        <f>'Block Data'!C24</f>
        <v>239063</v>
      </c>
      <c r="E29" s="4">
        <f>IF('Block Data'!E24="","",'Block Data'!E24)</f>
        <v>-7.7959000000000001E-2</v>
      </c>
      <c r="F29" s="5">
        <f>'Block Data'!F24</f>
        <v>5340.68</v>
      </c>
      <c r="G29" s="4">
        <f>IF('Block Data'!H24="","",'Block Data'!H24)</f>
        <v>-7.1367E-2</v>
      </c>
      <c r="H29" s="6">
        <f>IF('Block Data'!I24="","",'Block Data'!I24)</f>
        <v>43734</v>
      </c>
      <c r="I29" s="16">
        <f>'Block Data'!M24</f>
        <v>22.340052622112164</v>
      </c>
      <c r="J29" s="16">
        <f t="shared" si="1"/>
        <v>74.068242054925619</v>
      </c>
      <c r="K29" s="16">
        <f t="shared" si="2"/>
        <v>13.76328</v>
      </c>
      <c r="L29" s="16">
        <f t="shared" si="3"/>
        <v>37.608242873837355</v>
      </c>
      <c r="M29" s="16">
        <f t="shared" ca="1" si="4"/>
        <v>0</v>
      </c>
      <c r="N29" s="17">
        <f t="shared" ca="1" si="5"/>
        <v>39.454929437683305</v>
      </c>
      <c r="O29">
        <f t="shared" ca="1" si="6"/>
        <v>44</v>
      </c>
      <c r="P29" t="s">
        <v>223</v>
      </c>
    </row>
    <row r="30" spans="1:16">
      <c r="A30" t="str">
        <f t="shared" si="0"/>
        <v>Block</v>
      </c>
      <c r="B30" t="str">
        <f>'Block Data'!A25</f>
        <v>Blockbuster - Games &amp; Social</v>
      </c>
      <c r="C30" t="str">
        <f>'Block Data'!B25</f>
        <v>Blockbuster Group</v>
      </c>
      <c r="D30" s="3">
        <f>'Block Data'!C25</f>
        <v>235195</v>
      </c>
      <c r="E30" s="4">
        <f>IF('Block Data'!E25="","",'Block Data'!E25)</f>
        <v>-0.78130500000000003</v>
      </c>
      <c r="F30" s="5">
        <f>'Block Data'!F25</f>
        <v>2117.77</v>
      </c>
      <c r="G30" s="4">
        <f>IF('Block Data'!H25="","",'Block Data'!H25)</f>
        <v>0.89847699999999997</v>
      </c>
      <c r="H30" s="6">
        <f>IF('Block Data'!I25="","",'Block Data'!I25)</f>
        <v>46044</v>
      </c>
      <c r="I30" s="16">
        <f>'Block Data'!M25</f>
        <v>9.0043155679329914</v>
      </c>
      <c r="J30" s="16">
        <f t="shared" si="1"/>
        <v>73.970683889631701</v>
      </c>
      <c r="K30" s="16">
        <f t="shared" si="2"/>
        <v>0</v>
      </c>
      <c r="L30" s="16">
        <f t="shared" si="3"/>
        <v>27.494510382517991</v>
      </c>
      <c r="M30" s="16">
        <f t="shared" ca="1" si="4"/>
        <v>81.004566210045667</v>
      </c>
      <c r="N30" s="17">
        <f t="shared" ca="1" si="5"/>
        <v>40.86382357800516</v>
      </c>
      <c r="O30">
        <f t="shared" ca="1" si="6"/>
        <v>40</v>
      </c>
      <c r="P30" t="s">
        <v>223</v>
      </c>
    </row>
    <row r="31" spans="1:16">
      <c r="A31" t="str">
        <f t="shared" si="0"/>
        <v>Block</v>
      </c>
      <c r="B31" t="str">
        <f>'Block Data'!A26</f>
        <v>Block Blast Quest</v>
      </c>
      <c r="C31" t="str">
        <f>'Block Data'!B26</f>
        <v>KetanIreng</v>
      </c>
      <c r="D31" s="3">
        <f>'Block Data'!C26</f>
        <v>232263</v>
      </c>
      <c r="E31" s="4" t="str">
        <f>IF('Block Data'!E26="","",'Block Data'!E26)</f>
        <v/>
      </c>
      <c r="F31" s="5">
        <f>'Block Data'!F26</f>
        <v>0</v>
      </c>
      <c r="G31" s="4" t="str">
        <f>IF('Block Data'!H26="","",'Block Data'!H26)</f>
        <v/>
      </c>
      <c r="H31" s="6">
        <f>IF('Block Data'!I26="","",'Block Data'!I26)</f>
        <v>46209</v>
      </c>
      <c r="I31" s="16">
        <f>'Block Data'!M26</f>
        <v>0</v>
      </c>
      <c r="J31" s="16">
        <f t="shared" si="1"/>
        <v>73.895658331919805</v>
      </c>
      <c r="K31" s="16">
        <f t="shared" si="2"/>
        <v>50</v>
      </c>
      <c r="L31" s="16">
        <f t="shared" si="3"/>
        <v>0</v>
      </c>
      <c r="M31" s="16">
        <f t="shared" ca="1" si="4"/>
        <v>96.073059360730596</v>
      </c>
      <c r="N31" s="17">
        <f t="shared" ca="1" si="5"/>
        <v>50.470786352244993</v>
      </c>
      <c r="O31">
        <f t="shared" ca="1" si="6"/>
        <v>20</v>
      </c>
      <c r="P31" t="s">
        <v>223</v>
      </c>
    </row>
    <row r="32" spans="1:16">
      <c r="A32" t="str">
        <f t="shared" si="0"/>
        <v>Block</v>
      </c>
      <c r="B32" t="str">
        <f>'Block Data'!A27</f>
        <v>Wooden Puzzle Bliss</v>
      </c>
      <c r="C32" t="str">
        <f>'Block Data'!B27</f>
        <v>Gimica</v>
      </c>
      <c r="D32" s="3">
        <f>'Block Data'!C27</f>
        <v>231835</v>
      </c>
      <c r="E32" s="4">
        <f>IF('Block Data'!E27="","",'Block Data'!E27)</f>
        <v>-6.0080000000000001E-2</v>
      </c>
      <c r="F32" s="5">
        <f>'Block Data'!F27</f>
        <v>0</v>
      </c>
      <c r="G32" s="4" t="str">
        <f>IF('Block Data'!H27="","",'Block Data'!H27)</f>
        <v/>
      </c>
      <c r="H32" s="6">
        <f>IF('Block Data'!I27="","",'Block Data'!I27)</f>
        <v>44740</v>
      </c>
      <c r="I32" s="16">
        <f>'Block Data'!M27</f>
        <v>0</v>
      </c>
      <c r="J32" s="16">
        <f t="shared" si="1"/>
        <v>73.884627294704615</v>
      </c>
      <c r="K32" s="16">
        <f t="shared" si="2"/>
        <v>15.193600000000002</v>
      </c>
      <c r="L32" s="16">
        <f t="shared" si="3"/>
        <v>0</v>
      </c>
      <c r="M32" s="16">
        <f t="shared" ca="1" si="4"/>
        <v>0</v>
      </c>
      <c r="N32" s="17">
        <f t="shared" ca="1" si="5"/>
        <v>30.417699553146615</v>
      </c>
      <c r="O32">
        <f t="shared" ca="1" si="6"/>
        <v>66</v>
      </c>
      <c r="P32" t="s">
        <v>223</v>
      </c>
    </row>
    <row r="33" spans="1:16">
      <c r="A33" t="str">
        <f t="shared" si="0"/>
        <v>Block</v>
      </c>
      <c r="B33" t="str">
        <f>'Block Data'!A28</f>
        <v>Tangram Heaven</v>
      </c>
      <c r="C33" t="str">
        <f>'Block Data'!B28</f>
        <v>Gimica</v>
      </c>
      <c r="D33" s="3">
        <f>'Block Data'!C28</f>
        <v>217267</v>
      </c>
      <c r="E33" s="4">
        <f>IF('Block Data'!E28="","",'Block Data'!E28)</f>
        <v>-0.183833</v>
      </c>
      <c r="F33" s="5">
        <f>'Block Data'!F28</f>
        <v>0</v>
      </c>
      <c r="G33" s="4" t="str">
        <f>IF('Block Data'!H28="","",'Block Data'!H28)</f>
        <v/>
      </c>
      <c r="H33" s="6">
        <f>IF('Block Data'!I28="","",'Block Data'!I28)</f>
        <v>45446</v>
      </c>
      <c r="I33" s="16">
        <f>'Block Data'!M28</f>
        <v>0</v>
      </c>
      <c r="J33" s="16">
        <f t="shared" si="1"/>
        <v>73.496486376050115</v>
      </c>
      <c r="K33" s="16">
        <f t="shared" si="2"/>
        <v>5.2933600000000007</v>
      </c>
      <c r="L33" s="16">
        <f t="shared" si="3"/>
        <v>0</v>
      </c>
      <c r="M33" s="16">
        <f t="shared" ca="1" si="4"/>
        <v>26.392694063926939</v>
      </c>
      <c r="N33" s="17">
        <f t="shared" ca="1" si="5"/>
        <v>29.95104763801023</v>
      </c>
      <c r="O33">
        <f t="shared" ca="1" si="6"/>
        <v>67</v>
      </c>
      <c r="P33" t="s">
        <v>223</v>
      </c>
    </row>
    <row r="34" spans="1:16">
      <c r="A34" t="str">
        <f t="shared" si="0"/>
        <v>Block</v>
      </c>
      <c r="B34" t="str">
        <f>'Block Data'!A29</f>
        <v>Block Puzzle</v>
      </c>
      <c r="C34" t="str">
        <f>'Block Data'!B29</f>
        <v>Senspark</v>
      </c>
      <c r="D34" s="3">
        <f>'Block Data'!C29</f>
        <v>195011</v>
      </c>
      <c r="E34" s="4">
        <f>IF('Block Data'!E29="","",'Block Data'!E29)</f>
        <v>-4.2472999999999997E-2</v>
      </c>
      <c r="F34" s="5">
        <f>'Block Data'!F29</f>
        <v>0</v>
      </c>
      <c r="G34" s="4" t="str">
        <f>IF('Block Data'!H29="","",'Block Data'!H29)</f>
        <v/>
      </c>
      <c r="H34" s="6">
        <f>IF('Block Data'!I29="","",'Block Data'!I29)</f>
        <v>43536</v>
      </c>
      <c r="I34" s="16">
        <f>'Block Data'!M29</f>
        <v>0</v>
      </c>
      <c r="J34" s="16">
        <f t="shared" si="1"/>
        <v>72.850146025763223</v>
      </c>
      <c r="K34" s="16">
        <f t="shared" si="2"/>
        <v>16.602160000000001</v>
      </c>
      <c r="L34" s="16">
        <f t="shared" si="3"/>
        <v>0</v>
      </c>
      <c r="M34" s="16">
        <f t="shared" ca="1" si="4"/>
        <v>0</v>
      </c>
      <c r="N34" s="17">
        <f t="shared" ca="1" si="5"/>
        <v>30.478199109017126</v>
      </c>
      <c r="O34">
        <f t="shared" ca="1" si="6"/>
        <v>65</v>
      </c>
      <c r="P34" t="s">
        <v>223</v>
      </c>
    </row>
    <row r="35" spans="1:16">
      <c r="A35" t="str">
        <f t="shared" si="0"/>
        <v>Block</v>
      </c>
      <c r="B35" t="str">
        <f>'Block Data'!A30</f>
        <v>Hex Match</v>
      </c>
      <c r="C35" t="str">
        <f>'Block Data'!B30</f>
        <v>Gimica</v>
      </c>
      <c r="D35" s="3">
        <f>'Block Data'!C30</f>
        <v>183642</v>
      </c>
      <c r="E35" s="4">
        <f>IF('Block Data'!E30="","",'Block Data'!E30)</f>
        <v>-0.20236499999999999</v>
      </c>
      <c r="F35" s="5">
        <f>'Block Data'!F30</f>
        <v>4.49</v>
      </c>
      <c r="G35" s="4">
        <f>IF('Block Data'!H30="","",'Block Data'!H30)</f>
        <v>-0.99881200000000003</v>
      </c>
      <c r="H35" s="6">
        <f>IF('Block Data'!I30="","",'Block Data'!I30)</f>
        <v>44740</v>
      </c>
      <c r="I35" s="16">
        <f>'Block Data'!M30</f>
        <v>2.4449744611799044E-2</v>
      </c>
      <c r="J35" s="16">
        <f t="shared" si="1"/>
        <v>72.490899025400637</v>
      </c>
      <c r="K35" s="16">
        <f t="shared" si="2"/>
        <v>3.8108000000000009</v>
      </c>
      <c r="L35" s="16">
        <f t="shared" si="3"/>
        <v>0.28838148194198687</v>
      </c>
      <c r="M35" s="16">
        <f t="shared" ca="1" si="4"/>
        <v>0</v>
      </c>
      <c r="N35" s="17">
        <f t="shared" ca="1" si="5"/>
        <v>26.587150029375717</v>
      </c>
      <c r="O35">
        <f t="shared" ca="1" si="6"/>
        <v>71</v>
      </c>
      <c r="P35" t="s">
        <v>223</v>
      </c>
    </row>
    <row r="36" spans="1:16">
      <c r="A36" t="str">
        <f t="shared" si="0"/>
        <v>Block</v>
      </c>
      <c r="B36" t="str">
        <f>'Block Data'!A31</f>
        <v>Block Puzzle Challenge</v>
      </c>
      <c r="C36" t="str">
        <f>'Block Data'!B31</f>
        <v>Adaric Music</v>
      </c>
      <c r="D36" s="3">
        <f>'Block Data'!C31</f>
        <v>171917</v>
      </c>
      <c r="E36" s="4">
        <f>IF('Block Data'!E31="","",'Block Data'!E31)</f>
        <v>0.150755</v>
      </c>
      <c r="F36" s="5">
        <f>'Block Data'!F31</f>
        <v>10.11</v>
      </c>
      <c r="G36" s="4">
        <f>IF('Block Data'!H31="","",'Block Data'!H31)</f>
        <v>-3.2536000000000002E-2</v>
      </c>
      <c r="H36" s="6">
        <f>IF('Block Data'!I31="","",'Block Data'!I31)</f>
        <v>45664</v>
      </c>
      <c r="I36" s="16">
        <f>'Block Data'!M31</f>
        <v>5.8807447780033384E-2</v>
      </c>
      <c r="J36" s="16">
        <f t="shared" si="1"/>
        <v>72.09631431502109</v>
      </c>
      <c r="K36" s="16">
        <f t="shared" si="2"/>
        <v>32.060400000000001</v>
      </c>
      <c r="L36" s="16">
        <f t="shared" si="3"/>
        <v>0.68220308824856701</v>
      </c>
      <c r="M36" s="16">
        <f t="shared" ca="1" si="4"/>
        <v>46.301369863013697</v>
      </c>
      <c r="N36" s="17">
        <f t="shared" ca="1" si="5"/>
        <v>39.652517768620896</v>
      </c>
      <c r="O36">
        <f t="shared" ca="1" si="6"/>
        <v>43</v>
      </c>
      <c r="P36" t="s">
        <v>223</v>
      </c>
    </row>
    <row r="37" spans="1:16">
      <c r="A37" t="str">
        <f t="shared" si="0"/>
        <v>Block</v>
      </c>
      <c r="B37" t="str">
        <f>'Block Data'!A32</f>
        <v>Tricky Blocks - Block Puzzle</v>
      </c>
      <c r="C37" t="str">
        <f>'Block Data'!B32</f>
        <v>Blue Bag Studios</v>
      </c>
      <c r="D37" s="3">
        <f>'Block Data'!C32</f>
        <v>169554</v>
      </c>
      <c r="E37" s="4">
        <f>IF('Block Data'!E32="","",'Block Data'!E32)</f>
        <v>6.8777000000000005E-2</v>
      </c>
      <c r="F37" s="5">
        <f>'Block Data'!F32</f>
        <v>0</v>
      </c>
      <c r="G37" s="4" t="str">
        <f>IF('Block Data'!H32="","",'Block Data'!H32)</f>
        <v/>
      </c>
      <c r="H37" s="6">
        <f>IF('Block Data'!I32="","",'Block Data'!I32)</f>
        <v>45943</v>
      </c>
      <c r="I37" s="16">
        <f>'Block Data'!M32</f>
        <v>0</v>
      </c>
      <c r="J37" s="16">
        <f t="shared" si="1"/>
        <v>72.013539482621354</v>
      </c>
      <c r="K37" s="16">
        <f t="shared" si="2"/>
        <v>25.502159999999996</v>
      </c>
      <c r="L37" s="16">
        <f t="shared" si="3"/>
        <v>0</v>
      </c>
      <c r="M37" s="16">
        <f t="shared" ca="1" si="4"/>
        <v>71.780821917808225</v>
      </c>
      <c r="N37" s="17">
        <f t="shared" ca="1" si="5"/>
        <v>40.033469010698298</v>
      </c>
      <c r="O37">
        <f t="shared" ca="1" si="6"/>
        <v>42</v>
      </c>
      <c r="P37" t="s">
        <v>223</v>
      </c>
    </row>
    <row r="38" spans="1:16">
      <c r="A38" t="str">
        <f t="shared" si="0"/>
        <v>Block</v>
      </c>
      <c r="B38" t="str">
        <f>'Block Data'!A33</f>
        <v>Block Puzzle: Combo Mania!</v>
      </c>
      <c r="C38" t="str">
        <f>'Block Data'!B33</f>
        <v>Crazy Maple Studio</v>
      </c>
      <c r="D38" s="3">
        <f>'Block Data'!C33</f>
        <v>165920</v>
      </c>
      <c r="E38" s="4">
        <f>IF('Block Data'!E33="","",'Block Data'!E33)</f>
        <v>0.47016599999999997</v>
      </c>
      <c r="F38" s="5">
        <f>'Block Data'!F33</f>
        <v>13.76</v>
      </c>
      <c r="G38" s="4">
        <f>IF('Block Data'!H33="","",'Block Data'!H33)</f>
        <v>1.9978210000000001</v>
      </c>
      <c r="H38" s="6">
        <f>IF('Block Data'!I33="","",'Block Data'!I33)</f>
        <v>45418</v>
      </c>
      <c r="I38" s="16">
        <f>'Block Data'!M33</f>
        <v>8.2931533269045316E-2</v>
      </c>
      <c r="J38" s="16">
        <f t="shared" si="1"/>
        <v>71.883963509082577</v>
      </c>
      <c r="K38" s="16">
        <f t="shared" si="2"/>
        <v>57.613280000000003</v>
      </c>
      <c r="L38" s="16">
        <f t="shared" si="3"/>
        <v>0.95115931981302804</v>
      </c>
      <c r="M38" s="16">
        <f t="shared" ca="1" si="4"/>
        <v>23.835616438356169</v>
      </c>
      <c r="N38" s="17">
        <f t="shared" ca="1" si="5"/>
        <v>45.064722701967781</v>
      </c>
      <c r="O38">
        <f t="shared" ca="1" si="6"/>
        <v>31</v>
      </c>
      <c r="P38" t="s">
        <v>223</v>
      </c>
    </row>
    <row r="39" spans="1:16">
      <c r="A39" t="str">
        <f t="shared" ref="A39:A55" si="7">"Block"</f>
        <v>Block</v>
      </c>
      <c r="B39" t="str">
        <f>'Block Data'!A34</f>
        <v>Block Puzzle Brick Blast</v>
      </c>
      <c r="C39" t="str">
        <f>'Block Data'!B34</f>
        <v>Hyzap Games</v>
      </c>
      <c r="D39" s="3">
        <f>'Block Data'!C34</f>
        <v>165609</v>
      </c>
      <c r="E39" s="4">
        <f>IF('Block Data'!E34="","",'Block Data'!E34)</f>
        <v>0.33421099999999998</v>
      </c>
      <c r="F39" s="5">
        <f>'Block Data'!F34</f>
        <v>0</v>
      </c>
      <c r="G39" s="4" t="str">
        <f>IF('Block Data'!H34="","",'Block Data'!H34)</f>
        <v/>
      </c>
      <c r="H39" s="6">
        <f>IF('Block Data'!I34="","",'Block Data'!I34)</f>
        <v>43399</v>
      </c>
      <c r="I39" s="16">
        <f>'Block Data'!M34</f>
        <v>0</v>
      </c>
      <c r="J39" s="16">
        <f t="shared" ref="J39:J70" si="8">IFERROR(LOG10(D39+1)/LOG10(MAX($D$7:$D$79)+1)*100,0)</f>
        <v>71.872742797513695</v>
      </c>
      <c r="K39" s="16">
        <f t="shared" ref="K39:K70" si="9">IF(E39="",50,MAX(0,MIN(100,(E39+0.25)/1.25*100)))</f>
        <v>46.736879999999999</v>
      </c>
      <c r="L39" s="16">
        <f t="shared" ref="L39:L70" si="10">IFERROR(IF(MAX($I$7:$I$79)=0,0,LOG10(I39+1)/LOG10(MAX($I$7:$I$79)+1)*100),0)</f>
        <v>0</v>
      </c>
      <c r="M39" s="16">
        <f t="shared" ref="M39:M70" ca="1" si="11">IF(H39="",30,MAX(0,100-(TODAY()-H39)/1095*100))</f>
        <v>0</v>
      </c>
      <c r="N39" s="17">
        <f t="shared" ref="N39:N70" ca="1" si="12">SUMPRODUCT(J39:M39,$B$2:$E$2)</f>
        <v>39.17652397912979</v>
      </c>
      <c r="O39">
        <f t="shared" ref="O39:O70" ca="1" si="13">_xlfn.RANK.EQ(N39,$N$7:$N$79,0)</f>
        <v>45</v>
      </c>
      <c r="P39" t="s">
        <v>223</v>
      </c>
    </row>
    <row r="40" spans="1:16">
      <c r="A40" t="str">
        <f t="shared" si="7"/>
        <v>Block</v>
      </c>
      <c r="B40" t="str">
        <f>'Block Data'!A35</f>
        <v>Marble Away - Fluffy Escape</v>
      </c>
      <c r="C40" t="str">
        <f>'Block Data'!B35</f>
        <v>CONATURE</v>
      </c>
      <c r="D40" s="3">
        <f>'Block Data'!C35</f>
        <v>164355</v>
      </c>
      <c r="E40" s="4">
        <f>IF('Block Data'!E35="","",'Block Data'!E35)</f>
        <v>-5.7360000000000001E-2</v>
      </c>
      <c r="F40" s="5">
        <f>'Block Data'!F35</f>
        <v>6039.51</v>
      </c>
      <c r="G40" s="4">
        <f>IF('Block Data'!H35="","",'Block Data'!H35)</f>
        <v>0.95218999999999998</v>
      </c>
      <c r="H40" s="6">
        <f>IF('Block Data'!I35="","",'Block Data'!I35)</f>
        <v>46078</v>
      </c>
      <c r="I40" s="16">
        <f>'Block Data'!M35</f>
        <v>36.746737245596428</v>
      </c>
      <c r="J40" s="16">
        <f t="shared" si="8"/>
        <v>71.827284364487426</v>
      </c>
      <c r="K40" s="16">
        <f t="shared" si="9"/>
        <v>15.411199999999999</v>
      </c>
      <c r="L40" s="16">
        <f t="shared" si="10"/>
        <v>43.347404994087775</v>
      </c>
      <c r="M40" s="16">
        <f t="shared" ca="1" si="11"/>
        <v>84.109589041095887</v>
      </c>
      <c r="N40" s="17">
        <f t="shared" ca="1" si="12"/>
        <v>49.010719680202136</v>
      </c>
      <c r="O40">
        <f t="shared" ca="1" si="13"/>
        <v>22</v>
      </c>
      <c r="P40" t="s">
        <v>223</v>
      </c>
    </row>
    <row r="41" spans="1:16">
      <c r="A41" t="str">
        <f t="shared" si="7"/>
        <v>Block</v>
      </c>
      <c r="B41" t="str">
        <f>'Block Data'!A36</f>
        <v>Woodoku - Wood Block Puzzle</v>
      </c>
      <c r="C41" t="str">
        <f>'Block Data'!B36</f>
        <v>Tripledot Studios</v>
      </c>
      <c r="D41" s="3">
        <f>'Block Data'!C36</f>
        <v>159969</v>
      </c>
      <c r="E41" s="4">
        <f>IF('Block Data'!E36="","",'Block Data'!E36)</f>
        <v>2.6863999999999999E-2</v>
      </c>
      <c r="F41" s="5">
        <f>'Block Data'!F36</f>
        <v>0.02</v>
      </c>
      <c r="G41" s="4">
        <f>IF('Block Data'!H36="","",'Block Data'!H36)</f>
        <v>-0.6</v>
      </c>
      <c r="H41" s="6">
        <f>IF('Block Data'!I36="","",'Block Data'!I36)</f>
        <v>43901</v>
      </c>
      <c r="I41" s="16">
        <f>'Block Data'!M36</f>
        <v>1.2502422344329214E-4</v>
      </c>
      <c r="J41" s="16">
        <f t="shared" si="8"/>
        <v>71.665514595723124</v>
      </c>
      <c r="K41" s="16">
        <f t="shared" si="9"/>
        <v>22.14912</v>
      </c>
      <c r="L41" s="16">
        <f t="shared" si="10"/>
        <v>1.4925055285953746E-3</v>
      </c>
      <c r="M41" s="16">
        <f t="shared" ca="1" si="11"/>
        <v>0</v>
      </c>
      <c r="N41" s="17">
        <f t="shared" ca="1" si="12"/>
        <v>31.728039234885241</v>
      </c>
      <c r="O41">
        <f t="shared" ca="1" si="13"/>
        <v>63</v>
      </c>
      <c r="P41" t="s">
        <v>223</v>
      </c>
    </row>
    <row r="42" spans="1:16">
      <c r="A42" t="str">
        <f t="shared" si="7"/>
        <v>Block</v>
      </c>
      <c r="B42" t="str">
        <f>'Block Data'!A37</f>
        <v>Blockbuster: Arcade</v>
      </c>
      <c r="C42" t="str">
        <f>'Block Data'!B37</f>
        <v>Gimica</v>
      </c>
      <c r="D42" s="3">
        <f>'Block Data'!C37</f>
        <v>145947</v>
      </c>
      <c r="E42" s="4">
        <f>IF('Block Data'!E37="","",'Block Data'!E37)</f>
        <v>-0.217253</v>
      </c>
      <c r="F42" s="5">
        <f>'Block Data'!F37</f>
        <v>0</v>
      </c>
      <c r="G42" s="4" t="str">
        <f>IF('Block Data'!H37="","",'Block Data'!H37)</f>
        <v/>
      </c>
      <c r="H42" s="6">
        <f>IF('Block Data'!I37="","",'Block Data'!I37)</f>
        <v>45602</v>
      </c>
      <c r="I42" s="16">
        <f>'Block Data'!M37</f>
        <v>0</v>
      </c>
      <c r="J42" s="16">
        <f t="shared" si="8"/>
        <v>71.116867133991732</v>
      </c>
      <c r="K42" s="16">
        <f t="shared" si="9"/>
        <v>2.6197599999999999</v>
      </c>
      <c r="L42" s="16">
        <f t="shared" si="10"/>
        <v>0</v>
      </c>
      <c r="M42" s="16">
        <f t="shared" ca="1" si="11"/>
        <v>40.6392694063927</v>
      </c>
      <c r="N42" s="17">
        <f t="shared" ca="1" si="12"/>
        <v>29.740758437536375</v>
      </c>
      <c r="O42">
        <f t="shared" ca="1" si="13"/>
        <v>68</v>
      </c>
      <c r="P42" t="s">
        <v>223</v>
      </c>
    </row>
    <row r="43" spans="1:16">
      <c r="A43" t="str">
        <f t="shared" si="7"/>
        <v>Block</v>
      </c>
      <c r="B43" t="str">
        <f>'Block Data'!A38</f>
        <v>Block Jam Out: No Timer Puzzle</v>
      </c>
      <c r="C43" t="str">
        <f>'Block Data'!B38</f>
        <v>Play2Ever Games</v>
      </c>
      <c r="D43" s="3">
        <f>'Block Data'!C38</f>
        <v>142076</v>
      </c>
      <c r="E43" s="4">
        <f>IF('Block Data'!E38="","",'Block Data'!E38)</f>
        <v>27.33586</v>
      </c>
      <c r="F43" s="5">
        <f>'Block Data'!F38</f>
        <v>996.41</v>
      </c>
      <c r="G43" s="4">
        <f>IF('Block Data'!H38="","",'Block Data'!H38)</f>
        <v>4.1366639999999997</v>
      </c>
      <c r="H43" s="6">
        <f>IF('Block Data'!I38="","",'Block Data'!I38)</f>
        <v>46099</v>
      </c>
      <c r="I43" s="16">
        <f>'Block Data'!M38</f>
        <v>7.013218277541597</v>
      </c>
      <c r="J43" s="16">
        <f t="shared" si="8"/>
        <v>70.956097818469246</v>
      </c>
      <c r="K43" s="16">
        <f t="shared" si="9"/>
        <v>100</v>
      </c>
      <c r="L43" s="16">
        <f t="shared" si="10"/>
        <v>24.845074674153704</v>
      </c>
      <c r="M43" s="16">
        <f t="shared" ca="1" si="11"/>
        <v>86.027397260273972</v>
      </c>
      <c r="N43" s="17">
        <f t="shared" ca="1" si="12"/>
        <v>69.648642631030057</v>
      </c>
      <c r="O43">
        <f t="shared" ca="1" si="13"/>
        <v>2</v>
      </c>
      <c r="P43" t="s">
        <v>223</v>
      </c>
    </row>
    <row r="44" spans="1:16">
      <c r="A44" t="str">
        <f t="shared" si="7"/>
        <v>Block</v>
      </c>
      <c r="B44" t="str">
        <f>'Block Data'!A39</f>
        <v>Block Puzzle: Stack Infinity</v>
      </c>
      <c r="C44" t="str">
        <f>'Block Data'!B39</f>
        <v>XUFENG</v>
      </c>
      <c r="D44" s="3">
        <f>'Block Data'!C39</f>
        <v>140742</v>
      </c>
      <c r="E44" s="4">
        <f>IF('Block Data'!E39="","",'Block Data'!E39)</f>
        <v>-5.1494999999999999E-2</v>
      </c>
      <c r="F44" s="5">
        <f>'Block Data'!F39</f>
        <v>0</v>
      </c>
      <c r="G44" s="4" t="str">
        <f>IF('Block Data'!H39="","",'Block Data'!H39)</f>
        <v/>
      </c>
      <c r="H44" s="6">
        <f>IF('Block Data'!I39="","",'Block Data'!I39)</f>
        <v>45824</v>
      </c>
      <c r="I44" s="16">
        <f>'Block Data'!M39</f>
        <v>0</v>
      </c>
      <c r="J44" s="16">
        <f t="shared" si="8"/>
        <v>70.899677834495492</v>
      </c>
      <c r="K44" s="16">
        <f t="shared" si="9"/>
        <v>15.8804</v>
      </c>
      <c r="L44" s="16">
        <f t="shared" si="10"/>
        <v>0</v>
      </c>
      <c r="M44" s="16">
        <f t="shared" ca="1" si="11"/>
        <v>60.913242009132418</v>
      </c>
      <c r="N44" s="17">
        <f t="shared" ca="1" si="12"/>
        <v>35.670331442986665</v>
      </c>
      <c r="O44">
        <f t="shared" ca="1" si="13"/>
        <v>54</v>
      </c>
      <c r="P44" t="s">
        <v>223</v>
      </c>
    </row>
    <row r="45" spans="1:16">
      <c r="A45" t="str">
        <f t="shared" si="7"/>
        <v>Block</v>
      </c>
      <c r="B45" t="str">
        <f>'Block Data'!A40</f>
        <v>Wood Block Jam</v>
      </c>
      <c r="C45" t="str">
        <f>'Block Data'!B40</f>
        <v>Unico Studio</v>
      </c>
      <c r="D45" s="3">
        <f>'Block Data'!C40</f>
        <v>140135</v>
      </c>
      <c r="E45" s="4">
        <f>IF('Block Data'!E40="","",'Block Data'!E40)</f>
        <v>0.33947899999999998</v>
      </c>
      <c r="F45" s="5">
        <f>'Block Data'!F40</f>
        <v>89272.74</v>
      </c>
      <c r="G45" s="4">
        <f>IF('Block Data'!H40="","",'Block Data'!H40)</f>
        <v>3.1722E-2</v>
      </c>
      <c r="H45" s="6">
        <f>IF('Block Data'!I40="","",'Block Data'!I40)</f>
        <v>45730</v>
      </c>
      <c r="I45" s="16">
        <f>'Block Data'!M40</f>
        <v>637.04813215827596</v>
      </c>
      <c r="J45" s="16">
        <f t="shared" si="8"/>
        <v>70.873828216889535</v>
      </c>
      <c r="K45" s="16">
        <f t="shared" si="9"/>
        <v>47.158319999999996</v>
      </c>
      <c r="L45" s="16">
        <f t="shared" si="10"/>
        <v>77.103624217876572</v>
      </c>
      <c r="M45" s="16">
        <f t="shared" ca="1" si="11"/>
        <v>52.328767123287676</v>
      </c>
      <c r="N45" s="17">
        <f t="shared" ca="1" si="12"/>
        <v>63.46211864270925</v>
      </c>
      <c r="O45">
        <f t="shared" ca="1" si="13"/>
        <v>7</v>
      </c>
      <c r="P45" t="s">
        <v>223</v>
      </c>
    </row>
    <row r="46" spans="1:16">
      <c r="A46" t="str">
        <f t="shared" si="7"/>
        <v>Block</v>
      </c>
      <c r="B46" t="str">
        <f>'Block Data'!A41</f>
        <v>Block Spark: Classic Puzzle</v>
      </c>
      <c r="C46" t="str">
        <f>'Block Data'!B41</f>
        <v>Sofish</v>
      </c>
      <c r="D46" s="3">
        <f>'Block Data'!C41</f>
        <v>135920</v>
      </c>
      <c r="E46" s="4">
        <f>IF('Block Data'!E41="","",'Block Data'!E41)</f>
        <v>-0.56008500000000006</v>
      </c>
      <c r="F46" s="5">
        <f>'Block Data'!F41</f>
        <v>0</v>
      </c>
      <c r="G46" s="4" t="str">
        <f>IF('Block Data'!H41="","",'Block Data'!H41)</f>
        <v/>
      </c>
      <c r="H46" s="6">
        <f>IF('Block Data'!I41="","",'Block Data'!I41)</f>
        <v>46070</v>
      </c>
      <c r="I46" s="16">
        <f>'Block Data'!M41</f>
        <v>0</v>
      </c>
      <c r="J46" s="16">
        <f t="shared" si="8"/>
        <v>70.691179513578831</v>
      </c>
      <c r="K46" s="16">
        <f t="shared" si="9"/>
        <v>0</v>
      </c>
      <c r="L46" s="16">
        <f t="shared" si="10"/>
        <v>0</v>
      </c>
      <c r="M46" s="16">
        <f t="shared" ca="1" si="11"/>
        <v>83.378995433789953</v>
      </c>
      <c r="N46" s="17">
        <f t="shared" ca="1" si="12"/>
        <v>33.079812373131588</v>
      </c>
      <c r="O46">
        <f t="shared" ca="1" si="13"/>
        <v>60</v>
      </c>
      <c r="P46" t="s">
        <v>223</v>
      </c>
    </row>
    <row r="47" spans="1:16">
      <c r="A47" t="str">
        <f t="shared" si="7"/>
        <v>Block</v>
      </c>
      <c r="B47" t="str">
        <f>'Block Data'!A42</f>
        <v>2048 Puzzle Fun</v>
      </c>
      <c r="C47" t="str">
        <f>'Block Data'!B42</f>
        <v>Gimica</v>
      </c>
      <c r="D47" s="3">
        <f>'Block Data'!C42</f>
        <v>130679</v>
      </c>
      <c r="E47" s="4">
        <f>IF('Block Data'!E42="","",'Block Data'!E42)</f>
        <v>-0.36814799999999998</v>
      </c>
      <c r="F47" s="5">
        <f>'Block Data'!F42</f>
        <v>0</v>
      </c>
      <c r="G47" s="4" t="str">
        <f>IF('Block Data'!H42="","",'Block Data'!H42)</f>
        <v/>
      </c>
      <c r="H47" s="6">
        <f>IF('Block Data'!I42="","",'Block Data'!I42)</f>
        <v>44587</v>
      </c>
      <c r="I47" s="16">
        <f>'Block Data'!M42</f>
        <v>0</v>
      </c>
      <c r="J47" s="16">
        <f t="shared" si="8"/>
        <v>70.456003856085374</v>
      </c>
      <c r="K47" s="16">
        <f t="shared" si="9"/>
        <v>0</v>
      </c>
      <c r="L47" s="16">
        <f t="shared" si="10"/>
        <v>0</v>
      </c>
      <c r="M47" s="16">
        <f t="shared" ca="1" si="11"/>
        <v>0</v>
      </c>
      <c r="N47" s="17">
        <f t="shared" ca="1" si="12"/>
        <v>24.659601349629881</v>
      </c>
      <c r="O47">
        <f t="shared" ca="1" si="13"/>
        <v>73</v>
      </c>
      <c r="P47" t="s">
        <v>223</v>
      </c>
    </row>
    <row r="48" spans="1:16">
      <c r="A48" t="str">
        <f t="shared" si="7"/>
        <v>Block</v>
      </c>
      <c r="B48" t="str">
        <f>'Block Data'!A43</f>
        <v>Block Puzzle - Wood Blast</v>
      </c>
      <c r="C48" t="str">
        <f>'Block Data'!B43</f>
        <v>Arcade Game Maker</v>
      </c>
      <c r="D48" s="3">
        <f>'Block Data'!C43</f>
        <v>129301</v>
      </c>
      <c r="E48" s="4">
        <f>IF('Block Data'!E43="","",'Block Data'!E43)</f>
        <v>-8.2365999999999995E-2</v>
      </c>
      <c r="F48" s="5">
        <f>'Block Data'!F43</f>
        <v>239.57</v>
      </c>
      <c r="G48" s="4">
        <f>IF('Block Data'!H43="","",'Block Data'!H43)</f>
        <v>-2.6811000000000001E-2</v>
      </c>
      <c r="H48" s="6">
        <f>IF('Block Data'!I43="","",'Block Data'!I43)</f>
        <v>45167</v>
      </c>
      <c r="I48" s="16">
        <f>'Block Data'!M43</f>
        <v>1.8528085629654836</v>
      </c>
      <c r="J48" s="16">
        <f t="shared" si="8"/>
        <v>70.39260315938715</v>
      </c>
      <c r="K48" s="16">
        <f t="shared" si="9"/>
        <v>13.410720000000001</v>
      </c>
      <c r="L48" s="16">
        <f t="shared" si="10"/>
        <v>12.515152917942492</v>
      </c>
      <c r="M48" s="16">
        <f t="shared" ca="1" si="11"/>
        <v>0.91324200913241782</v>
      </c>
      <c r="N48" s="17">
        <f t="shared" ca="1" si="12"/>
        <v>31.880739536184365</v>
      </c>
      <c r="O48">
        <f t="shared" ca="1" si="13"/>
        <v>62</v>
      </c>
      <c r="P48" t="s">
        <v>223</v>
      </c>
    </row>
    <row r="49" spans="1:16">
      <c r="A49" t="str">
        <f t="shared" si="7"/>
        <v>Block</v>
      </c>
      <c r="B49" t="str">
        <f>'Block Data'!A44</f>
        <v>Block Puzzle Relax</v>
      </c>
      <c r="C49" t="str">
        <f>'Block Data'!B44</f>
        <v>Triple M Tech</v>
      </c>
      <c r="D49" s="3">
        <f>'Block Data'!C44</f>
        <v>124317</v>
      </c>
      <c r="E49" s="4" t="str">
        <f>IF('Block Data'!E44="","",'Block Data'!E44)</f>
        <v/>
      </c>
      <c r="F49" s="5">
        <f>'Block Data'!F44</f>
        <v>0</v>
      </c>
      <c r="G49" s="4" t="str">
        <f>IF('Block Data'!H44="","",'Block Data'!H44)</f>
        <v/>
      </c>
      <c r="H49" s="6">
        <f>IF('Block Data'!I44="","",'Block Data'!I44)</f>
        <v>46209</v>
      </c>
      <c r="I49" s="16">
        <f>'Block Data'!M44</f>
        <v>0</v>
      </c>
      <c r="J49" s="16">
        <f t="shared" si="8"/>
        <v>70.157512986135103</v>
      </c>
      <c r="K49" s="16">
        <f t="shared" si="9"/>
        <v>50</v>
      </c>
      <c r="L49" s="16">
        <f t="shared" si="10"/>
        <v>0</v>
      </c>
      <c r="M49" s="16">
        <f t="shared" ca="1" si="11"/>
        <v>96.073059360730596</v>
      </c>
      <c r="N49" s="17">
        <f t="shared" ca="1" si="12"/>
        <v>49.162435481220342</v>
      </c>
      <c r="O49">
        <f t="shared" ca="1" si="13"/>
        <v>21</v>
      </c>
      <c r="P49" t="s">
        <v>223</v>
      </c>
    </row>
    <row r="50" spans="1:16">
      <c r="A50" t="str">
        <f t="shared" si="7"/>
        <v>Block</v>
      </c>
      <c r="B50" t="str">
        <f>'Block Data'!A45</f>
        <v>Shape Escape: Block Puzzle</v>
      </c>
      <c r="C50" t="str">
        <f>'Block Data'!B45</f>
        <v>Fiogonia</v>
      </c>
      <c r="D50" s="3">
        <f>'Block Data'!C45</f>
        <v>123313</v>
      </c>
      <c r="E50" s="4">
        <f>IF('Block Data'!E45="","",'Block Data'!E45)</f>
        <v>-0.41134900000000002</v>
      </c>
      <c r="F50" s="5">
        <f>'Block Data'!F45</f>
        <v>44153.78</v>
      </c>
      <c r="G50" s="4">
        <f>IF('Block Data'!H45="","",'Block Data'!H45)</f>
        <v>-3.2358999999999999E-2</v>
      </c>
      <c r="H50" s="6">
        <f>IF('Block Data'!I45="","",'Block Data'!I45)</f>
        <v>45789</v>
      </c>
      <c r="I50" s="16">
        <f>'Block Data'!M45</f>
        <v>358.062653572616</v>
      </c>
      <c r="J50" s="16">
        <f t="shared" si="8"/>
        <v>70.109016155971233</v>
      </c>
      <c r="K50" s="16">
        <f t="shared" si="9"/>
        <v>0</v>
      </c>
      <c r="L50" s="16">
        <f t="shared" si="10"/>
        <v>70.239992854366648</v>
      </c>
      <c r="M50" s="16">
        <f t="shared" ca="1" si="11"/>
        <v>57.716894977168948</v>
      </c>
      <c r="N50" s="17">
        <f t="shared" ca="1" si="12"/>
        <v>47.86984336589849</v>
      </c>
      <c r="O50">
        <f t="shared" ca="1" si="13"/>
        <v>25</v>
      </c>
      <c r="P50" t="s">
        <v>223</v>
      </c>
    </row>
    <row r="51" spans="1:16">
      <c r="A51" t="str">
        <f t="shared" si="7"/>
        <v>Block</v>
      </c>
      <c r="B51" t="str">
        <f>'Block Data'!A46</f>
        <v>Block Blast - Top Block Puzzle</v>
      </c>
      <c r="C51" t="str">
        <f>'Block Data'!B46</f>
        <v>Matching Games</v>
      </c>
      <c r="D51" s="3">
        <f>'Block Data'!C46</f>
        <v>119019</v>
      </c>
      <c r="E51" s="4">
        <f>IF('Block Data'!E46="","",'Block Data'!E46)</f>
        <v>-0.577233</v>
      </c>
      <c r="F51" s="5">
        <f>'Block Data'!F46</f>
        <v>0</v>
      </c>
      <c r="G51" s="4" t="str">
        <f>IF('Block Data'!H46="","",'Block Data'!H46)</f>
        <v/>
      </c>
      <c r="H51" s="6">
        <f>IF('Block Data'!I46="","",'Block Data'!I46)</f>
        <v>45363</v>
      </c>
      <c r="I51" s="16">
        <f>'Block Data'!M46</f>
        <v>0</v>
      </c>
      <c r="J51" s="16">
        <f t="shared" si="8"/>
        <v>69.897044801941405</v>
      </c>
      <c r="K51" s="16">
        <f t="shared" si="9"/>
        <v>0</v>
      </c>
      <c r="L51" s="16">
        <f t="shared" si="10"/>
        <v>0</v>
      </c>
      <c r="M51" s="16">
        <f t="shared" ca="1" si="11"/>
        <v>18.81278538812785</v>
      </c>
      <c r="N51" s="17">
        <f t="shared" ca="1" si="12"/>
        <v>26.345244219492276</v>
      </c>
      <c r="O51">
        <f t="shared" ca="1" si="13"/>
        <v>72</v>
      </c>
      <c r="P51" t="s">
        <v>223</v>
      </c>
    </row>
    <row r="52" spans="1:16">
      <c r="A52" t="str">
        <f t="shared" si="7"/>
        <v>Block</v>
      </c>
      <c r="B52" t="str">
        <f>'Block Data'!A47</f>
        <v>Block Bloom: Color Blast</v>
      </c>
      <c r="C52" t="str">
        <f>'Block Data'!B47</f>
        <v>Nebula Studio</v>
      </c>
      <c r="D52" s="3">
        <f>'Block Data'!C47</f>
        <v>112636</v>
      </c>
      <c r="E52" s="4" t="str">
        <f>IF('Block Data'!E47="","",'Block Data'!E47)</f>
        <v/>
      </c>
      <c r="F52" s="5">
        <f>'Block Data'!F47</f>
        <v>0</v>
      </c>
      <c r="G52" s="4" t="str">
        <f>IF('Block Data'!H47="","",'Block Data'!H47)</f>
        <v/>
      </c>
      <c r="H52" s="6">
        <f>IF('Block Data'!I47="","",'Block Data'!I47)</f>
        <v>46203</v>
      </c>
      <c r="I52" s="16">
        <f>'Block Data'!M47</f>
        <v>0</v>
      </c>
      <c r="J52" s="16">
        <f t="shared" si="8"/>
        <v>69.567379389246327</v>
      </c>
      <c r="K52" s="16">
        <f t="shared" si="9"/>
        <v>50</v>
      </c>
      <c r="L52" s="16">
        <f t="shared" si="10"/>
        <v>0</v>
      </c>
      <c r="M52" s="16">
        <f t="shared" ca="1" si="11"/>
        <v>95.525114155251146</v>
      </c>
      <c r="N52" s="17">
        <f t="shared" ca="1" si="12"/>
        <v>48.901094201761332</v>
      </c>
      <c r="O52">
        <f t="shared" ca="1" si="13"/>
        <v>24</v>
      </c>
      <c r="P52" t="s">
        <v>223</v>
      </c>
    </row>
    <row r="53" spans="1:16">
      <c r="A53" t="str">
        <f t="shared" si="7"/>
        <v>Block</v>
      </c>
      <c r="B53" t="str">
        <f>'Block Data'!A48</f>
        <v>Fortuna Block Blast</v>
      </c>
      <c r="C53" t="str">
        <f>'Block Data'!B48</f>
        <v>UniteGrand Auto</v>
      </c>
      <c r="D53" s="3">
        <f>'Block Data'!C48</f>
        <v>109614</v>
      </c>
      <c r="E53" s="4">
        <f>IF('Block Data'!E48="","",'Block Data'!E48)</f>
        <v>17.450429</v>
      </c>
      <c r="F53" s="5">
        <f>'Block Data'!F48</f>
        <v>0</v>
      </c>
      <c r="G53" s="4" t="str">
        <f>IF('Block Data'!H48="","",'Block Data'!H48)</f>
        <v/>
      </c>
      <c r="H53" s="6" t="str">
        <f>IF('Block Data'!I48="","",'Block Data'!I48)</f>
        <v/>
      </c>
      <c r="I53" s="16">
        <f>'Block Data'!M48</f>
        <v>0</v>
      </c>
      <c r="J53" s="16">
        <f t="shared" si="8"/>
        <v>69.404727326633122</v>
      </c>
      <c r="K53" s="16">
        <f t="shared" si="9"/>
        <v>100</v>
      </c>
      <c r="L53" s="16">
        <f t="shared" si="10"/>
        <v>0</v>
      </c>
      <c r="M53" s="16">
        <f t="shared" ca="1" si="11"/>
        <v>30</v>
      </c>
      <c r="N53" s="17">
        <f t="shared" ca="1" si="12"/>
        <v>57.29165456432159</v>
      </c>
      <c r="O53">
        <f t="shared" ca="1" si="13"/>
        <v>9</v>
      </c>
      <c r="P53" t="s">
        <v>223</v>
      </c>
    </row>
    <row r="54" spans="1:16">
      <c r="A54" t="str">
        <f t="shared" si="7"/>
        <v>Block</v>
      </c>
      <c r="B54" t="str">
        <f>'Block Data'!A49</f>
        <v>Wood Block Puzzle Games</v>
      </c>
      <c r="C54" t="str">
        <f>'Block Data'!B49</f>
        <v>Learnings</v>
      </c>
      <c r="D54" s="3">
        <f>'Block Data'!C49</f>
        <v>108470</v>
      </c>
      <c r="E54" s="4">
        <f>IF('Block Data'!E49="","",'Block Data'!E49)</f>
        <v>-4.5955999999999997E-2</v>
      </c>
      <c r="F54" s="5">
        <f>'Block Data'!F49</f>
        <v>5177.1400000000003</v>
      </c>
      <c r="G54" s="4">
        <f>IF('Block Data'!H49="","",'Block Data'!H49)</f>
        <v>-9.6046999999999993E-2</v>
      </c>
      <c r="H54" s="6">
        <f>IF('Block Data'!I49="","",'Block Data'!I49)</f>
        <v>43776</v>
      </c>
      <c r="I54" s="16">
        <f>'Block Data'!M49</f>
        <v>47.728772932608095</v>
      </c>
      <c r="J54" s="16">
        <f t="shared" si="8"/>
        <v>69.341981297471165</v>
      </c>
      <c r="K54" s="16">
        <f t="shared" si="9"/>
        <v>16.323519999999998</v>
      </c>
      <c r="L54" s="16">
        <f t="shared" si="10"/>
        <v>46.396141458187564</v>
      </c>
      <c r="M54" s="16">
        <f t="shared" ca="1" si="11"/>
        <v>0</v>
      </c>
      <c r="N54" s="17">
        <f t="shared" ca="1" si="12"/>
        <v>40.7657848186618</v>
      </c>
      <c r="O54">
        <f t="shared" ca="1" si="13"/>
        <v>41</v>
      </c>
      <c r="P54" t="s">
        <v>223</v>
      </c>
    </row>
    <row r="55" spans="1:16">
      <c r="A55" t="str">
        <f t="shared" si="7"/>
        <v>Block</v>
      </c>
      <c r="B55" t="str">
        <f>'Block Data'!A50</f>
        <v>Block Blast: Relaxing Puzzle</v>
      </c>
      <c r="C55" t="str">
        <f>'Block Data'!B50</f>
        <v>Digital Payment Tech</v>
      </c>
      <c r="D55" s="3">
        <f>'Block Data'!C50</f>
        <v>107576</v>
      </c>
      <c r="E55" s="4">
        <f>IF('Block Data'!E50="","",'Block Data'!E50)</f>
        <v>51.450512000000003</v>
      </c>
      <c r="F55" s="5">
        <f>'Block Data'!F50</f>
        <v>0</v>
      </c>
      <c r="G55" s="4" t="str">
        <f>IF('Block Data'!H50="","",'Block Data'!H50)</f>
        <v/>
      </c>
      <c r="H55" s="6">
        <f>IF('Block Data'!I50="","",'Block Data'!I50)</f>
        <v>46186</v>
      </c>
      <c r="I55" s="16">
        <f>'Block Data'!M50</f>
        <v>0</v>
      </c>
      <c r="J55" s="16">
        <f t="shared" si="8"/>
        <v>69.292484879168242</v>
      </c>
      <c r="K55" s="16">
        <f t="shared" si="9"/>
        <v>100</v>
      </c>
      <c r="L55" s="16">
        <f t="shared" si="10"/>
        <v>0</v>
      </c>
      <c r="M55" s="16">
        <f t="shared" ca="1" si="11"/>
        <v>93.972602739726028</v>
      </c>
      <c r="N55" s="17">
        <f t="shared" ca="1" si="12"/>
        <v>63.649629981681485</v>
      </c>
      <c r="O55">
        <f t="shared" ca="1" si="13"/>
        <v>6</v>
      </c>
      <c r="P55" t="s">
        <v>223</v>
      </c>
    </row>
    <row r="56" spans="1:16">
      <c r="A56" t="str">
        <f t="shared" ref="A56:A79" si="14">"Mahjong"</f>
        <v>Mahjong</v>
      </c>
      <c r="B56" t="str">
        <f>'Mahjong Data'!A2</f>
        <v>Vita Mahjong</v>
      </c>
      <c r="C56" t="str">
        <f>'Mahjong Data'!B2</f>
        <v>Learnings</v>
      </c>
      <c r="D56" s="3">
        <f>'Mahjong Data'!C2</f>
        <v>9440900</v>
      </c>
      <c r="E56" s="4">
        <f>IF('Mahjong Data'!E2="","",'Mahjong Data'!E2)</f>
        <v>-0.120104</v>
      </c>
      <c r="F56" s="5">
        <f>'Mahjong Data'!F2</f>
        <v>158565.75</v>
      </c>
      <c r="G56" s="4">
        <f>IF('Mahjong Data'!H2="","",'Mahjong Data'!H2)</f>
        <v>3.5591999999999999E-2</v>
      </c>
      <c r="H56" s="6">
        <f>IF('Mahjong Data'!I2="","",'Mahjong Data'!I2)</f>
        <v>45261</v>
      </c>
      <c r="I56" s="16">
        <f>'Mahjong Data'!M2</f>
        <v>16.795618002520946</v>
      </c>
      <c r="J56" s="16">
        <f t="shared" si="8"/>
        <v>96.053848071686701</v>
      </c>
      <c r="K56" s="16">
        <f t="shared" si="9"/>
        <v>10.391680000000001</v>
      </c>
      <c r="L56" s="16">
        <f t="shared" si="10"/>
        <v>34.370305426454145</v>
      </c>
      <c r="M56" s="16">
        <f t="shared" ca="1" si="11"/>
        <v>9.4977168949771738</v>
      </c>
      <c r="N56" s="17">
        <f t="shared" ca="1" si="12"/>
        <v>46.278698871201591</v>
      </c>
      <c r="O56">
        <f t="shared" ca="1" si="13"/>
        <v>29</v>
      </c>
      <c r="P56" t="s">
        <v>223</v>
      </c>
    </row>
    <row r="57" spans="1:16">
      <c r="A57" t="str">
        <f t="shared" si="14"/>
        <v>Mahjong</v>
      </c>
      <c r="B57" t="str">
        <f>'Mahjong Data'!A3</f>
        <v>Mahjong Blast</v>
      </c>
      <c r="C57" t="str">
        <f>'Mahjong Data'!B3</f>
        <v>Nebula Studio</v>
      </c>
      <c r="D57" s="3">
        <f>'Mahjong Data'!C3</f>
        <v>5065843</v>
      </c>
      <c r="E57" s="4">
        <f>IF('Mahjong Data'!E3="","",'Mahjong Data'!E3)</f>
        <v>0.44542500000000002</v>
      </c>
      <c r="F57" s="5">
        <f>'Mahjong Data'!F3</f>
        <v>2252.46</v>
      </c>
      <c r="G57" s="4">
        <f>IF('Mahjong Data'!H3="","",'Mahjong Data'!H3)</f>
        <v>4.605086</v>
      </c>
      <c r="H57" s="6">
        <f>IF('Mahjong Data'!I3="","",'Mahjong Data'!I3)</f>
        <v>45831</v>
      </c>
      <c r="I57" s="16">
        <f>'Mahjong Data'!M3</f>
        <v>0.44463675640954531</v>
      </c>
      <c r="J57" s="16">
        <f t="shared" si="8"/>
        <v>92.330661685186271</v>
      </c>
      <c r="K57" s="16">
        <f t="shared" si="9"/>
        <v>55.633999999999993</v>
      </c>
      <c r="L57" s="16">
        <f t="shared" si="10"/>
        <v>4.3916632318926574</v>
      </c>
      <c r="M57" s="16">
        <f t="shared" ca="1" si="11"/>
        <v>61.55251141552511</v>
      </c>
      <c r="N57" s="17">
        <f t="shared" ca="1" si="12"/>
        <v>56.259098539340869</v>
      </c>
      <c r="O57">
        <f t="shared" ca="1" si="13"/>
        <v>12</v>
      </c>
      <c r="P57" t="s">
        <v>223</v>
      </c>
    </row>
    <row r="58" spans="1:16">
      <c r="A58" t="str">
        <f t="shared" si="14"/>
        <v>Mahjong</v>
      </c>
      <c r="B58" t="str">
        <f>'Mahjong Data'!A4</f>
        <v>Mahjong Master: Daily Match</v>
      </c>
      <c r="C58" t="str">
        <f>'Mahjong Data'!B4</f>
        <v>Pandas of Caribbean</v>
      </c>
      <c r="D58" s="3">
        <f>'Mahjong Data'!C4</f>
        <v>2347780</v>
      </c>
      <c r="E58" s="4">
        <f>IF('Mahjong Data'!E4="","",'Mahjong Data'!E4)</f>
        <v>0.36778</v>
      </c>
      <c r="F58" s="5">
        <f>'Mahjong Data'!F4</f>
        <v>326.39</v>
      </c>
      <c r="G58" s="4">
        <f>IF('Mahjong Data'!H4="","",'Mahjong Data'!H4)</f>
        <v>1.240612</v>
      </c>
      <c r="H58" s="6">
        <f>IF('Mahjong Data'!I4="","",'Mahjong Data'!I4)</f>
        <v>46044</v>
      </c>
      <c r="I58" s="16">
        <f>'Mahjong Data'!M4</f>
        <v>0.13902069188765556</v>
      </c>
      <c r="J58" s="16">
        <f t="shared" si="8"/>
        <v>87.731182256913428</v>
      </c>
      <c r="K58" s="16">
        <f t="shared" si="9"/>
        <v>49.422399999999996</v>
      </c>
      <c r="L58" s="16">
        <f t="shared" si="10"/>
        <v>1.554017844680198</v>
      </c>
      <c r="M58" s="16">
        <f t="shared" ca="1" si="11"/>
        <v>81.004566210045667</v>
      </c>
      <c r="N58" s="17">
        <f t="shared" ca="1" si="12"/>
        <v>54.021594872094319</v>
      </c>
      <c r="O58">
        <f t="shared" ca="1" si="13"/>
        <v>13</v>
      </c>
      <c r="P58" t="s">
        <v>223</v>
      </c>
    </row>
    <row r="59" spans="1:16">
      <c r="A59" t="str">
        <f t="shared" si="14"/>
        <v>Mahjong</v>
      </c>
      <c r="B59" t="str">
        <f>'Mahjong Data'!A5</f>
        <v>SoEasy Mahjong: Solitaire</v>
      </c>
      <c r="C59" t="str">
        <f>'Mahjong Data'!B5</f>
        <v>Sofish</v>
      </c>
      <c r="D59" s="3">
        <f>'Mahjong Data'!C5</f>
        <v>1166304</v>
      </c>
      <c r="E59" s="4">
        <f>IF('Mahjong Data'!E5="","",'Mahjong Data'!E5)</f>
        <v>-0.35077799999999998</v>
      </c>
      <c r="F59" s="5">
        <f>'Mahjong Data'!F5</f>
        <v>0</v>
      </c>
      <c r="G59" s="4" t="str">
        <f>IF('Mahjong Data'!H5="","",'Mahjong Data'!H5)</f>
        <v/>
      </c>
      <c r="H59" s="6">
        <f>IF('Mahjong Data'!I5="","",'Mahjong Data'!I5)</f>
        <v>46129</v>
      </c>
      <c r="I59" s="16">
        <f>'Mahjong Data'!M5</f>
        <v>0</v>
      </c>
      <c r="J59" s="16">
        <f t="shared" si="8"/>
        <v>83.546885758807605</v>
      </c>
      <c r="K59" s="16">
        <f t="shared" si="9"/>
        <v>0</v>
      </c>
      <c r="L59" s="16">
        <f t="shared" si="10"/>
        <v>0</v>
      </c>
      <c r="M59" s="16">
        <f t="shared" ca="1" si="11"/>
        <v>88.767123287671239</v>
      </c>
      <c r="N59" s="17">
        <f t="shared" ca="1" si="12"/>
        <v>38.118122344349786</v>
      </c>
      <c r="O59">
        <f t="shared" ca="1" si="13"/>
        <v>50</v>
      </c>
      <c r="P59" t="s">
        <v>223</v>
      </c>
    </row>
    <row r="60" spans="1:16">
      <c r="A60" t="str">
        <f t="shared" si="14"/>
        <v>Mahjong</v>
      </c>
      <c r="B60" t="str">
        <f>'Mahjong Data'!A6</f>
        <v>Tile Mahjong Classic</v>
      </c>
      <c r="C60" t="str">
        <f>'Mahjong Data'!B6</f>
        <v>Sofish</v>
      </c>
      <c r="D60" s="3">
        <f>'Mahjong Data'!C6</f>
        <v>740650</v>
      </c>
      <c r="E60" s="4">
        <f>IF('Mahjong Data'!E6="","",'Mahjong Data'!E6)</f>
        <v>-0.30037000000000003</v>
      </c>
      <c r="F60" s="5">
        <f>'Mahjong Data'!F6</f>
        <v>3497.24</v>
      </c>
      <c r="G60" s="4">
        <f>IF('Mahjong Data'!H6="","",'Mahjong Data'!H6)</f>
        <v>-0.17764099999999999</v>
      </c>
      <c r="H60" s="6">
        <f>IF('Mahjong Data'!I6="","",'Mahjong Data'!I6)</f>
        <v>46070</v>
      </c>
      <c r="I60" s="16">
        <f>'Mahjong Data'!M6</f>
        <v>4.7218524269222977</v>
      </c>
      <c r="J60" s="16">
        <f t="shared" si="8"/>
        <v>80.831238368201795</v>
      </c>
      <c r="K60" s="16">
        <f t="shared" si="9"/>
        <v>0</v>
      </c>
      <c r="L60" s="16">
        <f t="shared" si="10"/>
        <v>20.824197275785224</v>
      </c>
      <c r="M60" s="16">
        <f t="shared" ca="1" si="11"/>
        <v>83.378995433789953</v>
      </c>
      <c r="N60" s="17">
        <f t="shared" ca="1" si="12"/>
        <v>41.834882291195925</v>
      </c>
      <c r="O60">
        <f t="shared" ca="1" si="13"/>
        <v>35</v>
      </c>
      <c r="P60" t="s">
        <v>223</v>
      </c>
    </row>
    <row r="61" spans="1:16">
      <c r="A61" t="str">
        <f t="shared" si="14"/>
        <v>Mahjong</v>
      </c>
      <c r="B61" t="str">
        <f>'Mahjong Data'!A7</f>
        <v>Mahjong Traveler!</v>
      </c>
      <c r="C61" t="str">
        <f>'Mahjong Data'!B7</f>
        <v>Kuyisi Digital</v>
      </c>
      <c r="D61" s="3">
        <f>'Mahjong Data'!C7</f>
        <v>640526</v>
      </c>
      <c r="E61" s="4">
        <f>IF('Mahjong Data'!E7="","",'Mahjong Data'!E7)</f>
        <v>0.167271</v>
      </c>
      <c r="F61" s="5">
        <f>'Mahjong Data'!F7</f>
        <v>0</v>
      </c>
      <c r="G61" s="4" t="str">
        <f>IF('Mahjong Data'!H7="","",'Mahjong Data'!H7)</f>
        <v/>
      </c>
      <c r="H61" s="6" t="str">
        <f>IF('Mahjong Data'!I7="","",'Mahjong Data'!I7)</f>
        <v/>
      </c>
      <c r="I61" s="16">
        <f>'Mahjong Data'!M7</f>
        <v>0</v>
      </c>
      <c r="J61" s="16">
        <f t="shared" si="8"/>
        <v>79.962607916810839</v>
      </c>
      <c r="K61" s="16">
        <f t="shared" si="9"/>
        <v>33.381680000000003</v>
      </c>
      <c r="L61" s="16">
        <f t="shared" si="10"/>
        <v>0</v>
      </c>
      <c r="M61" s="16">
        <f t="shared" ca="1" si="11"/>
        <v>30</v>
      </c>
      <c r="N61" s="17">
        <f t="shared" ca="1" si="12"/>
        <v>41.001416770883793</v>
      </c>
      <c r="O61">
        <f t="shared" ca="1" si="13"/>
        <v>38</v>
      </c>
      <c r="P61" t="s">
        <v>223</v>
      </c>
    </row>
    <row r="62" spans="1:16">
      <c r="A62" t="str">
        <f t="shared" si="14"/>
        <v>Mahjong</v>
      </c>
      <c r="B62" t="str">
        <f>'Mahjong Data'!A8</f>
        <v>Mahjong-Match Puzzle Games</v>
      </c>
      <c r="C62" t="str">
        <f>'Mahjong Data'!B8</f>
        <v>GameTree</v>
      </c>
      <c r="D62" s="3">
        <f>'Mahjong Data'!C8</f>
        <v>554079</v>
      </c>
      <c r="E62" s="4">
        <f>IF('Mahjong Data'!E8="","",'Mahjong Data'!E8)</f>
        <v>0.28561399999999998</v>
      </c>
      <c r="F62" s="5">
        <f>'Mahjong Data'!F8</f>
        <v>177.1</v>
      </c>
      <c r="G62" s="4">
        <f>IF('Mahjong Data'!H8="","",'Mahjong Data'!H8)</f>
        <v>-0.119519</v>
      </c>
      <c r="H62" s="6">
        <f>IF('Mahjong Data'!I8="","",'Mahjong Data'!I8)</f>
        <v>44691</v>
      </c>
      <c r="I62" s="16">
        <f>'Mahjong Data'!M8</f>
        <v>0.31962951131517348</v>
      </c>
      <c r="J62" s="16">
        <f t="shared" si="8"/>
        <v>79.095508889460248</v>
      </c>
      <c r="K62" s="16">
        <f t="shared" si="9"/>
        <v>42.849119999999999</v>
      </c>
      <c r="L62" s="16">
        <f t="shared" si="10"/>
        <v>3.3111488432853839</v>
      </c>
      <c r="M62" s="16">
        <f t="shared" ca="1" si="11"/>
        <v>0</v>
      </c>
      <c r="N62" s="17">
        <f t="shared" ca="1" si="12"/>
        <v>41.365951322132432</v>
      </c>
      <c r="O62">
        <f t="shared" ca="1" si="13"/>
        <v>37</v>
      </c>
      <c r="P62" t="s">
        <v>223</v>
      </c>
    </row>
    <row r="63" spans="1:16">
      <c r="A63" t="str">
        <f t="shared" si="14"/>
        <v>Mahjong</v>
      </c>
      <c r="B63" t="str">
        <f>'Mahjong Data'!A9</f>
        <v>Mahjongscapes - Tile Match</v>
      </c>
      <c r="C63" t="str">
        <f>'Mahjong Data'!B9</f>
        <v>PARTYPOP</v>
      </c>
      <c r="D63" s="3">
        <f>'Mahjong Data'!C9</f>
        <v>541008</v>
      </c>
      <c r="E63" s="4">
        <f>IF('Mahjong Data'!E9="","",'Mahjong Data'!E9)</f>
        <v>-9.9221000000000004E-2</v>
      </c>
      <c r="F63" s="5">
        <f>'Mahjong Data'!F9</f>
        <v>694.08</v>
      </c>
      <c r="G63" s="4">
        <f>IF('Mahjong Data'!H9="","",'Mahjong Data'!H9)</f>
        <v>0.284358</v>
      </c>
      <c r="H63" s="6">
        <f>IF('Mahjong Data'!I9="","",'Mahjong Data'!I9)</f>
        <v>45672</v>
      </c>
      <c r="I63" s="16">
        <f>'Mahjong Data'!M9</f>
        <v>1.282938514772425</v>
      </c>
      <c r="J63" s="16">
        <f t="shared" si="8"/>
        <v>78.952729983508291</v>
      </c>
      <c r="K63" s="16">
        <f t="shared" si="9"/>
        <v>12.06232</v>
      </c>
      <c r="L63" s="16">
        <f t="shared" si="10"/>
        <v>9.8547763060946032</v>
      </c>
      <c r="M63" s="16">
        <f t="shared" ca="1" si="11"/>
        <v>47.031963470319639</v>
      </c>
      <c r="N63" s="17">
        <f t="shared" ca="1" si="12"/>
        <v>38.41904191778351</v>
      </c>
      <c r="O63">
        <f t="shared" ca="1" si="13"/>
        <v>49</v>
      </c>
      <c r="P63" t="s">
        <v>223</v>
      </c>
    </row>
    <row r="64" spans="1:16">
      <c r="A64" t="str">
        <f t="shared" si="14"/>
        <v>Mahjong</v>
      </c>
      <c r="B64" t="str">
        <f>'Mahjong Data'!A10</f>
        <v>Mahjong Cash Link</v>
      </c>
      <c r="C64" t="str">
        <f>'Mahjong Data'!B10</f>
        <v>Jva TTC</v>
      </c>
      <c r="D64" s="3">
        <f>'Mahjong Data'!C10</f>
        <v>500239</v>
      </c>
      <c r="E64" s="4" t="str">
        <f>IF('Mahjong Data'!E10="","",'Mahjong Data'!E10)</f>
        <v/>
      </c>
      <c r="F64" s="5">
        <f>'Mahjong Data'!F10</f>
        <v>0</v>
      </c>
      <c r="G64" s="4" t="str">
        <f>IF('Mahjong Data'!H10="","",'Mahjong Data'!H10)</f>
        <v/>
      </c>
      <c r="H64" s="6">
        <f>IF('Mahjong Data'!I10="","",'Mahjong Data'!I10)</f>
        <v>46211</v>
      </c>
      <c r="I64" s="16">
        <f>'Mahjong Data'!M10</f>
        <v>0</v>
      </c>
      <c r="J64" s="16">
        <f t="shared" si="8"/>
        <v>78.484152339666906</v>
      </c>
      <c r="K64" s="16">
        <f t="shared" si="9"/>
        <v>50</v>
      </c>
      <c r="L64" s="16">
        <f t="shared" si="10"/>
        <v>0</v>
      </c>
      <c r="M64" s="16">
        <f t="shared" ca="1" si="11"/>
        <v>96.25570776255708</v>
      </c>
      <c r="N64" s="17">
        <f t="shared" ca="1" si="12"/>
        <v>52.095024095139124</v>
      </c>
      <c r="O64">
        <f t="shared" ca="1" si="13"/>
        <v>15</v>
      </c>
      <c r="P64" t="s">
        <v>223</v>
      </c>
    </row>
    <row r="65" spans="1:16">
      <c r="A65" t="str">
        <f t="shared" si="14"/>
        <v>Mahjong</v>
      </c>
      <c r="B65" t="str">
        <f>'Mahjong Data'!A11</f>
        <v>Mahjong Mingle</v>
      </c>
      <c r="C65" t="str">
        <f>'Mahjong Data'!B11</f>
        <v>Playful Bytes</v>
      </c>
      <c r="D65" s="3">
        <f>'Mahjong Data'!C11</f>
        <v>493628</v>
      </c>
      <c r="E65" s="4">
        <f>IF('Mahjong Data'!E11="","",'Mahjong Data'!E11)</f>
        <v>0.40978999999999999</v>
      </c>
      <c r="F65" s="5">
        <f>'Mahjong Data'!F11</f>
        <v>0</v>
      </c>
      <c r="G65" s="4" t="str">
        <f>IF('Mahjong Data'!H11="","",'Mahjong Data'!H11)</f>
        <v/>
      </c>
      <c r="H65" s="6">
        <f>IF('Mahjong Data'!I11="","",'Mahjong Data'!I11)</f>
        <v>45646</v>
      </c>
      <c r="I65" s="16">
        <f>'Mahjong Data'!M11</f>
        <v>0</v>
      </c>
      <c r="J65" s="16">
        <f t="shared" si="8"/>
        <v>78.404586171380913</v>
      </c>
      <c r="K65" s="16">
        <f t="shared" si="9"/>
        <v>52.783199999999994</v>
      </c>
      <c r="L65" s="16">
        <f t="shared" si="10"/>
        <v>0</v>
      </c>
      <c r="M65" s="16">
        <f t="shared" ca="1" si="11"/>
        <v>44.657534246575345</v>
      </c>
      <c r="N65" s="17">
        <f t="shared" ca="1" si="12"/>
        <v>47.742318584640849</v>
      </c>
      <c r="O65">
        <f t="shared" ca="1" si="13"/>
        <v>26</v>
      </c>
      <c r="P65" t="s">
        <v>223</v>
      </c>
    </row>
    <row r="66" spans="1:16">
      <c r="A66" t="str">
        <f t="shared" si="14"/>
        <v>Mahjong</v>
      </c>
      <c r="B66" t="str">
        <f>'Mahjong Data'!A12</f>
        <v>Mahjong Slide: Zen</v>
      </c>
      <c r="C66" t="str">
        <f>'Mahjong Data'!B12</f>
        <v>Playful Bytes</v>
      </c>
      <c r="D66" s="3">
        <f>'Mahjong Data'!C12</f>
        <v>459472</v>
      </c>
      <c r="E66" s="4">
        <f>IF('Mahjong Data'!E12="","",'Mahjong Data'!E12)</f>
        <v>0.21918499999999999</v>
      </c>
      <c r="F66" s="5">
        <f>'Mahjong Data'!F12</f>
        <v>0</v>
      </c>
      <c r="G66" s="4" t="str">
        <f>IF('Mahjong Data'!H12="","",'Mahjong Data'!H12)</f>
        <v/>
      </c>
      <c r="H66" s="6">
        <f>IF('Mahjong Data'!I12="","",'Mahjong Data'!I12)</f>
        <v>45908</v>
      </c>
      <c r="I66" s="16">
        <f>'Mahjong Data'!M12</f>
        <v>0</v>
      </c>
      <c r="J66" s="16">
        <f t="shared" si="8"/>
        <v>77.975743818380835</v>
      </c>
      <c r="K66" s="16">
        <f t="shared" si="9"/>
        <v>37.534799999999997</v>
      </c>
      <c r="L66" s="16">
        <f t="shared" si="10"/>
        <v>0</v>
      </c>
      <c r="M66" s="16">
        <f t="shared" ca="1" si="11"/>
        <v>68.584474885844742</v>
      </c>
      <c r="N66" s="17">
        <f t="shared" ca="1" si="12"/>
        <v>45.410397825017768</v>
      </c>
      <c r="O66">
        <f t="shared" ca="1" si="13"/>
        <v>30</v>
      </c>
      <c r="P66" t="s">
        <v>223</v>
      </c>
    </row>
    <row r="67" spans="1:16">
      <c r="A67" t="str">
        <f t="shared" si="14"/>
        <v>Mahjong</v>
      </c>
      <c r="B67" t="str">
        <f>'Mahjong Data'!A13</f>
        <v>Shanghai Mahjongg</v>
      </c>
      <c r="C67" t="str">
        <f>'Mahjong Data'!B13</f>
        <v>UniRise Digital</v>
      </c>
      <c r="D67" s="3">
        <f>'Mahjong Data'!C13</f>
        <v>403181</v>
      </c>
      <c r="E67" s="4">
        <f>IF('Mahjong Data'!E13="","",'Mahjong Data'!E13)</f>
        <v>-0.19348799999999999</v>
      </c>
      <c r="F67" s="5">
        <f>'Mahjong Data'!F13</f>
        <v>1429.25</v>
      </c>
      <c r="G67" s="4">
        <f>IF('Mahjong Data'!H13="","",'Mahjong Data'!H13)</f>
        <v>-0.141653</v>
      </c>
      <c r="H67" s="6">
        <f>IF('Mahjong Data'!I13="","",'Mahjong Data'!I13)</f>
        <v>45478</v>
      </c>
      <c r="I67" s="16">
        <f>'Mahjong Data'!M13</f>
        <v>3.5449339130564188</v>
      </c>
      <c r="J67" s="16">
        <f t="shared" si="8"/>
        <v>77.194109908640712</v>
      </c>
      <c r="K67" s="16">
        <f t="shared" si="9"/>
        <v>4.5209600000000005</v>
      </c>
      <c r="L67" s="16">
        <f t="shared" si="10"/>
        <v>18.075011734788966</v>
      </c>
      <c r="M67" s="16">
        <f t="shared" ca="1" si="11"/>
        <v>29.31506849315069</v>
      </c>
      <c r="N67" s="17">
        <f t="shared" ca="1" si="12"/>
        <v>35.824486251036561</v>
      </c>
      <c r="O67">
        <f t="shared" ca="1" si="13"/>
        <v>53</v>
      </c>
      <c r="P67" t="s">
        <v>223</v>
      </c>
    </row>
    <row r="68" spans="1:16">
      <c r="A68" t="str">
        <f t="shared" si="14"/>
        <v>Mahjong</v>
      </c>
      <c r="B68" t="str">
        <f>'Mahjong Data'!A14</f>
        <v>Vigor Mahjong</v>
      </c>
      <c r="C68" t="str">
        <f>'Mahjong Data'!B14</f>
        <v>CanaryDroid</v>
      </c>
      <c r="D68" s="3">
        <f>'Mahjong Data'!C14</f>
        <v>387363</v>
      </c>
      <c r="E68" s="4">
        <f>IF('Mahjong Data'!E14="","",'Mahjong Data'!E14)</f>
        <v>1.7732000000000001E-2</v>
      </c>
      <c r="F68" s="5">
        <f>'Mahjong Data'!F14</f>
        <v>0</v>
      </c>
      <c r="G68" s="4" t="str">
        <f>IF('Mahjong Data'!H14="","",'Mahjong Data'!H14)</f>
        <v/>
      </c>
      <c r="H68" s="6">
        <f>IF('Mahjong Data'!I14="","",'Mahjong Data'!I14)</f>
        <v>45450</v>
      </c>
      <c r="I68" s="16">
        <f>'Mahjong Data'!M14</f>
        <v>0</v>
      </c>
      <c r="J68" s="16">
        <f t="shared" si="8"/>
        <v>76.954741727632381</v>
      </c>
      <c r="K68" s="16">
        <f t="shared" si="9"/>
        <v>21.418560000000003</v>
      </c>
      <c r="L68" s="16">
        <f t="shared" si="10"/>
        <v>0</v>
      </c>
      <c r="M68" s="16">
        <f t="shared" ca="1" si="11"/>
        <v>26.757990867579906</v>
      </c>
      <c r="N68" s="17">
        <f t="shared" ca="1" si="12"/>
        <v>36.035526691429325</v>
      </c>
      <c r="O68">
        <f t="shared" ca="1" si="13"/>
        <v>52</v>
      </c>
      <c r="P68" t="s">
        <v>223</v>
      </c>
    </row>
    <row r="69" spans="1:16">
      <c r="A69" t="str">
        <f t="shared" si="14"/>
        <v>Mahjong</v>
      </c>
      <c r="B69" t="str">
        <f>'Mahjong Data'!A15</f>
        <v>Rich Mahjong Match</v>
      </c>
      <c r="C69" t="str">
        <f>'Mahjong Data'!B15</f>
        <v>Jva TTC</v>
      </c>
      <c r="D69" s="3">
        <f>'Mahjong Data'!C15</f>
        <v>382576</v>
      </c>
      <c r="E69" s="4" t="str">
        <f>IF('Mahjong Data'!E15="","",'Mahjong Data'!E15)</f>
        <v/>
      </c>
      <c r="F69" s="5">
        <f>'Mahjong Data'!F15</f>
        <v>0</v>
      </c>
      <c r="G69" s="4" t="str">
        <f>IF('Mahjong Data'!H15="","",'Mahjong Data'!H15)</f>
        <v/>
      </c>
      <c r="H69" s="6">
        <f>IF('Mahjong Data'!I15="","",'Mahjong Data'!I15)</f>
        <v>46211</v>
      </c>
      <c r="I69" s="16">
        <f>'Mahjong Data'!M15</f>
        <v>0</v>
      </c>
      <c r="J69" s="16">
        <f t="shared" si="8"/>
        <v>76.880372100716727</v>
      </c>
      <c r="K69" s="16">
        <f t="shared" si="9"/>
        <v>50</v>
      </c>
      <c r="L69" s="16">
        <f t="shared" si="10"/>
        <v>0</v>
      </c>
      <c r="M69" s="16">
        <f t="shared" ca="1" si="11"/>
        <v>96.25570776255708</v>
      </c>
      <c r="N69" s="17">
        <f t="shared" ca="1" si="12"/>
        <v>51.533701011506558</v>
      </c>
      <c r="O69">
        <f t="shared" ca="1" si="13"/>
        <v>16</v>
      </c>
      <c r="P69" t="s">
        <v>223</v>
      </c>
    </row>
    <row r="70" spans="1:16">
      <c r="A70" t="str">
        <f t="shared" si="14"/>
        <v>Mahjong</v>
      </c>
      <c r="B70" t="str">
        <f>'Mahjong Data'!A16</f>
        <v>Mahjong Club - Solitaire Game</v>
      </c>
      <c r="C70" t="str">
        <f>'Mahjong Data'!B16</f>
        <v>GamoVation</v>
      </c>
      <c r="D70" s="3">
        <f>'Mahjong Data'!C16</f>
        <v>341132</v>
      </c>
      <c r="E70" s="4">
        <f>IF('Mahjong Data'!E16="","",'Mahjong Data'!E16)</f>
        <v>-5.3485999999999999E-2</v>
      </c>
      <c r="F70" s="5">
        <f>'Mahjong Data'!F16</f>
        <v>124717.57</v>
      </c>
      <c r="G70" s="4">
        <f>IF('Mahjong Data'!H16="","",'Mahjong Data'!H16)</f>
        <v>-0.169738</v>
      </c>
      <c r="H70" s="6">
        <f>IF('Mahjong Data'!I16="","",'Mahjong Data'!I16)</f>
        <v>44562</v>
      </c>
      <c r="I70" s="16">
        <f>'Mahjong Data'!M16</f>
        <v>365.59915223432569</v>
      </c>
      <c r="J70" s="16">
        <f t="shared" si="8"/>
        <v>76.194636755654955</v>
      </c>
      <c r="K70" s="16">
        <f t="shared" si="9"/>
        <v>15.721119999999999</v>
      </c>
      <c r="L70" s="16">
        <f t="shared" si="10"/>
        <v>70.487980418262737</v>
      </c>
      <c r="M70" s="16">
        <f t="shared" ca="1" si="11"/>
        <v>0</v>
      </c>
      <c r="N70" s="17">
        <f t="shared" ca="1" si="12"/>
        <v>49.006453969044912</v>
      </c>
      <c r="O70">
        <f t="shared" ca="1" si="13"/>
        <v>23</v>
      </c>
      <c r="P70" t="s">
        <v>223</v>
      </c>
    </row>
    <row r="71" spans="1:16">
      <c r="A71" t="str">
        <f t="shared" si="14"/>
        <v>Mahjong</v>
      </c>
      <c r="B71" t="str">
        <f>'Mahjong Data'!A17</f>
        <v>Fun Mahjong Match</v>
      </c>
      <c r="C71" t="str">
        <f>'Mahjong Data'!B17</f>
        <v>EWG STUDIO</v>
      </c>
      <c r="D71" s="3">
        <f>'Mahjong Data'!C17</f>
        <v>339461</v>
      </c>
      <c r="E71" s="4">
        <f>IF('Mahjong Data'!E17="","",'Mahjong Data'!E17)</f>
        <v>-0.29277900000000001</v>
      </c>
      <c r="F71" s="5">
        <f>'Mahjong Data'!F17</f>
        <v>327.44</v>
      </c>
      <c r="G71" s="4">
        <f>IF('Mahjong Data'!H17="","",'Mahjong Data'!H17)</f>
        <v>50.403454000000004</v>
      </c>
      <c r="H71" s="6">
        <f>IF('Mahjong Data'!I17="","",'Mahjong Data'!I17)</f>
        <v>46141</v>
      </c>
      <c r="I71" s="16">
        <f>'Mahjong Data'!M17</f>
        <v>0.96458797917875694</v>
      </c>
      <c r="J71" s="16">
        <f t="shared" ref="J71:J79" si="15">IFERROR(LOG10(D71+1)/LOG10(MAX($D$7:$D$79)+1)*100,0)</f>
        <v>76.165268875828147</v>
      </c>
      <c r="K71" s="16">
        <f t="shared" ref="K71:K79" si="16">IF(E71="",50,MAX(0,MIN(100,(E71+0.25)/1.25*100)))</f>
        <v>0</v>
      </c>
      <c r="L71" s="16">
        <f t="shared" ref="L71:L79" si="17">IFERROR(IF(MAX($I$7:$I$79)=0,0,LOG10(I71+1)/LOG10(MAX($I$7:$I$79)+1)*100),0)</f>
        <v>8.0618451700680875</v>
      </c>
      <c r="M71" s="16">
        <f t="shared" ref="M71:M79" ca="1" si="18">IF(H71="",30,MAX(0,100-(TODAY()-H71)/1095*100))</f>
        <v>89.863013698630141</v>
      </c>
      <c r="N71" s="17">
        <f t="shared" ref="N71:N102" ca="1" si="19">SUMPRODUCT(J71:M71,$B$2:$E$2)</f>
        <v>37.659606768919886</v>
      </c>
      <c r="O71">
        <f t="shared" ref="O71:O102" ca="1" si="20">_xlfn.RANK.EQ(N71,$N$7:$N$79,0)</f>
        <v>51</v>
      </c>
      <c r="P71" t="s">
        <v>223</v>
      </c>
    </row>
    <row r="72" spans="1:16">
      <c r="A72" t="str">
        <f t="shared" si="14"/>
        <v>Mahjong</v>
      </c>
      <c r="B72" t="str">
        <f>'Mahjong Data'!A18</f>
        <v>Mahjong Triple - Match 3 Tile</v>
      </c>
      <c r="C72" t="str">
        <f>'Mahjong Data'!B18</f>
        <v>GamoVation</v>
      </c>
      <c r="D72" s="3">
        <f>'Mahjong Data'!C18</f>
        <v>330148</v>
      </c>
      <c r="E72" s="4">
        <f>IF('Mahjong Data'!E18="","",'Mahjong Data'!E18)</f>
        <v>-0.25063999999999997</v>
      </c>
      <c r="F72" s="5">
        <f>'Mahjong Data'!F18</f>
        <v>19028.37</v>
      </c>
      <c r="G72" s="4">
        <f>IF('Mahjong Data'!H18="","",'Mahjong Data'!H18)</f>
        <v>-1.2840000000000001E-2</v>
      </c>
      <c r="H72" s="6">
        <f>IF('Mahjong Data'!I18="","",'Mahjong Data'!I18)</f>
        <v>45610</v>
      </c>
      <c r="I72" s="16">
        <f>'Mahjong Data'!M18</f>
        <v>57.635878454511307</v>
      </c>
      <c r="J72" s="16">
        <f t="shared" si="15"/>
        <v>75.998897328991518</v>
      </c>
      <c r="K72" s="16">
        <f t="shared" si="16"/>
        <v>0</v>
      </c>
      <c r="L72" s="16">
        <f t="shared" si="17"/>
        <v>48.605680102783552</v>
      </c>
      <c r="M72" s="16">
        <f t="shared" ca="1" si="18"/>
        <v>41.369863013698627</v>
      </c>
      <c r="N72" s="17">
        <f t="shared" ca="1" si="19"/>
        <v>42.888020392212781</v>
      </c>
      <c r="O72">
        <f t="shared" ca="1" si="20"/>
        <v>34</v>
      </c>
      <c r="P72" t="s">
        <v>223</v>
      </c>
    </row>
    <row r="73" spans="1:16">
      <c r="A73" t="str">
        <f t="shared" si="14"/>
        <v>Mahjong</v>
      </c>
      <c r="B73" t="str">
        <f>'Mahjong Data'!A19</f>
        <v>Mahjong! Tile Puzzle</v>
      </c>
      <c r="C73" t="str">
        <f>'Mahjong Data'!B19</f>
        <v>Kuyisi Digital</v>
      </c>
      <c r="D73" s="3">
        <f>'Mahjong Data'!C19</f>
        <v>329420</v>
      </c>
      <c r="E73" s="4">
        <f>IF('Mahjong Data'!E19="","",'Mahjong Data'!E19)</f>
        <v>8.1099999999999998E-4</v>
      </c>
      <c r="F73" s="5">
        <f>'Mahjong Data'!F19</f>
        <v>0</v>
      </c>
      <c r="G73" s="4" t="str">
        <f>IF('Mahjong Data'!H19="","",'Mahjong Data'!H19)</f>
        <v/>
      </c>
      <c r="H73" s="6">
        <f>IF('Mahjong Data'!I19="","",'Mahjong Data'!I19)</f>
        <v>45846</v>
      </c>
      <c r="I73" s="16">
        <f>'Mahjong Data'!M19</f>
        <v>0</v>
      </c>
      <c r="J73" s="16">
        <f t="shared" si="15"/>
        <v>75.985694874236529</v>
      </c>
      <c r="K73" s="16">
        <f t="shared" si="16"/>
        <v>20.064880000000002</v>
      </c>
      <c r="L73" s="16">
        <f t="shared" si="17"/>
        <v>0</v>
      </c>
      <c r="M73" s="16">
        <f t="shared" ca="1" si="18"/>
        <v>62.922374429223744</v>
      </c>
      <c r="N73" s="17">
        <f t="shared" ca="1" si="19"/>
        <v>38.906694648905159</v>
      </c>
      <c r="O73">
        <f t="shared" ca="1" si="20"/>
        <v>47</v>
      </c>
      <c r="P73" t="s">
        <v>223</v>
      </c>
    </row>
    <row r="74" spans="1:16">
      <c r="A74" t="str">
        <f t="shared" si="14"/>
        <v>Mahjong</v>
      </c>
      <c r="B74" t="str">
        <f>'Mahjong Data'!A20</f>
        <v>Mahjong Pair Up</v>
      </c>
      <c r="C74" t="str">
        <f>'Mahjong Data'!B20</f>
        <v>summer affica</v>
      </c>
      <c r="D74" s="3">
        <f>'Mahjong Data'!C20</f>
        <v>328702</v>
      </c>
      <c r="E74" s="4">
        <f>IF('Mahjong Data'!E20="","",'Mahjong Data'!E20)</f>
        <v>-0.370784</v>
      </c>
      <c r="F74" s="5">
        <f>'Mahjong Data'!F20</f>
        <v>0</v>
      </c>
      <c r="G74" s="4" t="str">
        <f>IF('Mahjong Data'!H20="","",'Mahjong Data'!H20)</f>
        <v/>
      </c>
      <c r="H74" s="6" t="str">
        <f>IF('Mahjong Data'!I20="","",'Mahjong Data'!I20)</f>
        <v/>
      </c>
      <c r="I74" s="16">
        <f>'Mahjong Data'!M20</f>
        <v>0</v>
      </c>
      <c r="J74" s="16">
        <f t="shared" si="15"/>
        <v>75.972645162632446</v>
      </c>
      <c r="K74" s="16">
        <f t="shared" si="16"/>
        <v>0</v>
      </c>
      <c r="L74" s="16">
        <f t="shared" si="17"/>
        <v>0</v>
      </c>
      <c r="M74" s="16">
        <f t="shared" ca="1" si="18"/>
        <v>30</v>
      </c>
      <c r="N74" s="17">
        <f t="shared" ca="1" si="19"/>
        <v>29.590425806921356</v>
      </c>
      <c r="O74">
        <f t="shared" ca="1" si="20"/>
        <v>69</v>
      </c>
      <c r="P74" t="s">
        <v>223</v>
      </c>
    </row>
    <row r="75" spans="1:16">
      <c r="A75" t="str">
        <f t="shared" si="14"/>
        <v>Mahjong</v>
      </c>
      <c r="B75" t="str">
        <f>'Mahjong Data'!A21</f>
        <v>Daily Mahjong Match</v>
      </c>
      <c r="C75" t="str">
        <f>'Mahjong Data'!B21</f>
        <v>Big Cake Group</v>
      </c>
      <c r="D75" s="3">
        <f>'Mahjong Data'!C21</f>
        <v>314174</v>
      </c>
      <c r="E75" s="4">
        <f>IF('Mahjong Data'!E21="","",'Mahjong Data'!E21)</f>
        <v>0.17855799999999999</v>
      </c>
      <c r="F75" s="5">
        <f>'Mahjong Data'!F21</f>
        <v>13010.05</v>
      </c>
      <c r="G75" s="4">
        <f>IF('Mahjong Data'!H21="","",'Mahjong Data'!H21)</f>
        <v>0.35521599999999998</v>
      </c>
      <c r="H75" s="6">
        <f>IF('Mahjong Data'!I21="","",'Mahjong Data'!I21)</f>
        <v>45692</v>
      </c>
      <c r="I75" s="16">
        <f>'Mahjong Data'!M21</f>
        <v>41.410333127502589</v>
      </c>
      <c r="J75" s="16">
        <f t="shared" si="15"/>
        <v>75.702289643971426</v>
      </c>
      <c r="K75" s="16">
        <f t="shared" si="16"/>
        <v>34.284639999999996</v>
      </c>
      <c r="L75" s="16">
        <f t="shared" si="17"/>
        <v>44.738153969086277</v>
      </c>
      <c r="M75" s="16">
        <f t="shared" ca="1" si="18"/>
        <v>48.858447488584474</v>
      </c>
      <c r="N75" s="17">
        <f t="shared" ca="1" si="19"/>
        <v>52.851576616520013</v>
      </c>
      <c r="O75">
        <f t="shared" ca="1" si="20"/>
        <v>14</v>
      </c>
      <c r="P75" t="s">
        <v>223</v>
      </c>
    </row>
    <row r="76" spans="1:16">
      <c r="A76" t="str">
        <f t="shared" si="14"/>
        <v>Mahjong</v>
      </c>
      <c r="B76" t="str">
        <f>'Mahjong Data'!A22</f>
        <v>Mahjong Vibe</v>
      </c>
      <c r="C76" t="str">
        <f>'Mahjong Data'!B22</f>
        <v>XUFENG</v>
      </c>
      <c r="D76" s="3">
        <f>'Mahjong Data'!C22</f>
        <v>236565</v>
      </c>
      <c r="E76" s="4" t="str">
        <f>IF('Mahjong Data'!E22="","",'Mahjong Data'!E22)</f>
        <v/>
      </c>
      <c r="F76" s="5">
        <f>'Mahjong Data'!F22</f>
        <v>0</v>
      </c>
      <c r="G76" s="4" t="str">
        <f>IF('Mahjong Data'!H22="","",'Mahjong Data'!H22)</f>
        <v/>
      </c>
      <c r="H76" s="6">
        <f>IF('Mahjong Data'!I22="","",'Mahjong Data'!I22)</f>
        <v>46206</v>
      </c>
      <c r="I76" s="16">
        <f>'Mahjong Data'!M22</f>
        <v>0</v>
      </c>
      <c r="J76" s="16">
        <f t="shared" si="15"/>
        <v>74.005420133739804</v>
      </c>
      <c r="K76" s="16">
        <f t="shared" si="16"/>
        <v>50</v>
      </c>
      <c r="L76" s="16">
        <f t="shared" si="17"/>
        <v>0</v>
      </c>
      <c r="M76" s="16">
        <f t="shared" ca="1" si="18"/>
        <v>95.799086757990864</v>
      </c>
      <c r="N76" s="17">
        <f t="shared" ca="1" si="19"/>
        <v>50.481805722608016</v>
      </c>
      <c r="O76">
        <f t="shared" ca="1" si="20"/>
        <v>19</v>
      </c>
      <c r="P76" t="s">
        <v>223</v>
      </c>
    </row>
    <row r="77" spans="1:16">
      <c r="A77" t="str">
        <f t="shared" si="14"/>
        <v>Mahjong</v>
      </c>
      <c r="B77" t="str">
        <f>'Mahjong Data'!A23</f>
        <v>Mahjong Crush: Sorting Jam</v>
      </c>
      <c r="C77" t="str">
        <f>'Mahjong Data'!B23</f>
        <v>iKame</v>
      </c>
      <c r="D77" s="3">
        <f>'Mahjong Data'!C23</f>
        <v>234875</v>
      </c>
      <c r="E77" s="4">
        <f>IF('Mahjong Data'!E23="","",'Mahjong Data'!E23)</f>
        <v>0.13944000000000001</v>
      </c>
      <c r="F77" s="5">
        <f>'Mahjong Data'!F23</f>
        <v>654800.30000000005</v>
      </c>
      <c r="G77" s="4">
        <f>IF('Mahjong Data'!H23="","",'Mahjong Data'!H23)</f>
        <v>-0.11354300000000001</v>
      </c>
      <c r="H77" s="6">
        <f>IF('Mahjong Data'!I23="","",'Mahjong Data'!I23)</f>
        <v>46065</v>
      </c>
      <c r="I77" s="16">
        <f>'Mahjong Data'!M23</f>
        <v>2787.8671633847794</v>
      </c>
      <c r="J77" s="16">
        <f t="shared" si="15"/>
        <v>73.962541166121227</v>
      </c>
      <c r="K77" s="16">
        <f t="shared" si="16"/>
        <v>31.155200000000001</v>
      </c>
      <c r="L77" s="16">
        <f t="shared" si="17"/>
        <v>94.712603747061337</v>
      </c>
      <c r="M77" s="16">
        <f t="shared" ca="1" si="18"/>
        <v>82.922374429223737</v>
      </c>
      <c r="N77" s="17">
        <f t="shared" ca="1" si="19"/>
        <v>67.203837787830139</v>
      </c>
      <c r="O77">
        <f t="shared" ca="1" si="20"/>
        <v>4</v>
      </c>
      <c r="P77" t="s">
        <v>223</v>
      </c>
    </row>
    <row r="78" spans="1:16">
      <c r="A78" t="str">
        <f t="shared" si="14"/>
        <v>Mahjong</v>
      </c>
      <c r="B78" t="str">
        <f>'Mahjong Data'!A24</f>
        <v>Zen Tiles - Mahjong Match</v>
      </c>
      <c r="C78" t="str">
        <f>'Mahjong Data'!B24</f>
        <v>Bluetile Games</v>
      </c>
      <c r="D78" s="3">
        <f>'Mahjong Data'!C24</f>
        <v>218490</v>
      </c>
      <c r="E78" s="4">
        <f>IF('Mahjong Data'!E24="","",'Mahjong Data'!E24)</f>
        <v>4.7780000000000001E-3</v>
      </c>
      <c r="F78" s="5">
        <f>'Mahjong Data'!F24</f>
        <v>134.22999999999999</v>
      </c>
      <c r="G78" s="4">
        <f>IF('Mahjong Data'!H24="","",'Mahjong Data'!H24)</f>
        <v>-2.6825000000000002E-2</v>
      </c>
      <c r="H78" s="6">
        <f>IF('Mahjong Data'!I24="","",'Mahjong Data'!I24)</f>
        <v>45736</v>
      </c>
      <c r="I78" s="16">
        <f>'Mahjong Data'!M24</f>
        <v>0.61435305963659659</v>
      </c>
      <c r="J78" s="16">
        <f t="shared" si="15"/>
        <v>73.530057451783776</v>
      </c>
      <c r="K78" s="16">
        <f t="shared" si="16"/>
        <v>20.382240000000003</v>
      </c>
      <c r="L78" s="16">
        <f t="shared" si="17"/>
        <v>5.7177460947154177</v>
      </c>
      <c r="M78" s="16">
        <f t="shared" ca="1" si="18"/>
        <v>52.87671232876712</v>
      </c>
      <c r="N78" s="17">
        <f t="shared" ca="1" si="19"/>
        <v>38.567299864679882</v>
      </c>
      <c r="O78">
        <f t="shared" ca="1" si="20"/>
        <v>48</v>
      </c>
      <c r="P78" t="s">
        <v>223</v>
      </c>
    </row>
    <row r="79" spans="1:16">
      <c r="A79" t="str">
        <f t="shared" si="14"/>
        <v>Mahjong</v>
      </c>
      <c r="B79" t="str">
        <f>'Mahjong Data'!A25</f>
        <v>Zen Garden Mahjong</v>
      </c>
      <c r="C79" t="str">
        <f>'Mahjong Data'!B25</f>
        <v>AMG DevBM</v>
      </c>
      <c r="D79" s="3">
        <f>'Mahjong Data'!C25</f>
        <v>164028</v>
      </c>
      <c r="E79" s="4">
        <f>IF('Mahjong Data'!E25="","",'Mahjong Data'!E25)</f>
        <v>5.8913539999999998</v>
      </c>
      <c r="F79" s="5">
        <f>'Mahjong Data'!F25</f>
        <v>0</v>
      </c>
      <c r="G79" s="4" t="str">
        <f>IF('Mahjong Data'!H25="","",'Mahjong Data'!H25)</f>
        <v/>
      </c>
      <c r="H79" s="6">
        <f>IF('Mahjong Data'!I25="","",'Mahjong Data'!I25)</f>
        <v>46178</v>
      </c>
      <c r="I79" s="16">
        <f>'Mahjong Data'!M25</f>
        <v>0</v>
      </c>
      <c r="J79" s="16">
        <f t="shared" si="15"/>
        <v>71.815373353888518</v>
      </c>
      <c r="K79" s="16">
        <f t="shared" si="16"/>
        <v>100</v>
      </c>
      <c r="L79" s="16">
        <f t="shared" si="17"/>
        <v>0</v>
      </c>
      <c r="M79" s="16">
        <f t="shared" ca="1" si="18"/>
        <v>93.242009132420094</v>
      </c>
      <c r="N79" s="17">
        <f t="shared" ca="1" si="19"/>
        <v>64.459581587102988</v>
      </c>
      <c r="O79">
        <f t="shared" ca="1" si="20"/>
        <v>5</v>
      </c>
      <c r="P79" t="s">
        <v>223</v>
      </c>
    </row>
  </sheetData>
  <dataValidations count="1">
    <dataValidation type="list" allowBlank="1" showInputMessage="1" showErrorMessage="1" errorTitle="Giá trị không hợp lệ" error="Hãy chọn một trạng thái trong danh sách." promptTitle="Research status" prompt="Chọn trạng thái review cho game." sqref="P7:P79" xr:uid="{458963E6-B14E-4DA6-8C9C-002632F97C8B}">
      <formula1>"Chưa review,Đang review,Đã review,Bỏ qua"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D3C4-B752-4256-8189-98228454D07E}">
  <sheetPr>
    <tabColor rgb="FF5B9BD5"/>
  </sheetPr>
  <dimension ref="A1:O50"/>
  <sheetViews>
    <sheetView showGridLines="0" topLeftCell="B1" workbookViewId="0">
      <pane ySplit="1" topLeftCell="A2" activePane="bottomLeft" state="frozen"/>
      <selection pane="bottomLeft" activeCell="G2" sqref="G2"/>
    </sheetView>
  </sheetViews>
  <sheetFormatPr defaultRowHeight="14.5"/>
  <cols>
    <col min="1" max="1" width="40" customWidth="1"/>
    <col min="2" max="2" width="27.26953125" customWidth="1"/>
    <col min="3" max="13" width="16.36328125" customWidth="1"/>
    <col min="14" max="14" width="20" customWidth="1"/>
    <col min="15" max="15" width="26.36328125" customWidth="1"/>
  </cols>
  <sheetData>
    <row r="1" spans="1: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>
      <c r="A2" t="s">
        <v>16</v>
      </c>
      <c r="B2" t="s">
        <v>17</v>
      </c>
      <c r="C2" s="3">
        <v>18262736</v>
      </c>
      <c r="D2" s="3">
        <v>-788177</v>
      </c>
      <c r="E2" s="4">
        <v>-4.1371999999999999E-2</v>
      </c>
      <c r="F2" s="5">
        <v>7082.69</v>
      </c>
      <c r="G2" s="5">
        <v>-3614.02</v>
      </c>
      <c r="H2" s="4">
        <v>-0.33786300000000002</v>
      </c>
      <c r="I2" s="6">
        <v>44654</v>
      </c>
      <c r="J2" t="s">
        <v>18</v>
      </c>
      <c r="K2" s="3">
        <f t="shared" ref="K2:K33" si="0">C2-D2</f>
        <v>19050913</v>
      </c>
      <c r="L2" s="5">
        <f t="shared" ref="L2:L33" si="1">F2-G2</f>
        <v>10696.71</v>
      </c>
      <c r="M2" s="5">
        <f t="shared" ref="M2:M33" si="2">IF(C2=0,"",F2/C2*1000)</f>
        <v>0.38782195614063519</v>
      </c>
      <c r="N2" t="str">
        <f t="shared" ref="N2:N33" si="3">IF(ISBLANK(E2),"New / no prior",IF(E2&gt;=0.2,"Accelerating",IF(E2&gt;0,"Growing",IF(E2&gt;=-0.1,"Stable","Declining"))))</f>
        <v>Stable</v>
      </c>
      <c r="O2" t="s">
        <v>111</v>
      </c>
    </row>
    <row r="3" spans="1:15">
      <c r="A3" t="s">
        <v>19</v>
      </c>
      <c r="B3" t="s">
        <v>20</v>
      </c>
      <c r="C3" s="3">
        <v>7436099</v>
      </c>
      <c r="D3" s="3">
        <v>-213371</v>
      </c>
      <c r="E3" s="4">
        <v>-2.7893999999999999E-2</v>
      </c>
      <c r="F3" s="5">
        <v>1543.22</v>
      </c>
      <c r="G3" s="5">
        <v>670.34</v>
      </c>
      <c r="H3" s="4">
        <v>0.76796399999999998</v>
      </c>
      <c r="I3" s="6">
        <v>43572</v>
      </c>
      <c r="J3" t="s">
        <v>18</v>
      </c>
      <c r="K3" s="3">
        <f t="shared" si="0"/>
        <v>7649470</v>
      </c>
      <c r="L3" s="5">
        <f t="shared" si="1"/>
        <v>872.88</v>
      </c>
      <c r="M3" s="5">
        <f t="shared" si="2"/>
        <v>0.20753085724114217</v>
      </c>
      <c r="N3" t="str">
        <f t="shared" si="3"/>
        <v>Stable</v>
      </c>
      <c r="O3" t="s">
        <v>111</v>
      </c>
    </row>
    <row r="4" spans="1:15">
      <c r="A4" t="s">
        <v>21</v>
      </c>
      <c r="B4" t="s">
        <v>22</v>
      </c>
      <c r="C4" s="3">
        <v>7252293</v>
      </c>
      <c r="D4" s="3">
        <v>1630522</v>
      </c>
      <c r="E4" s="4">
        <v>0.29003699999999999</v>
      </c>
      <c r="F4" s="5">
        <v>9381506</v>
      </c>
      <c r="G4" s="5">
        <v>281683.94</v>
      </c>
      <c r="H4" s="4">
        <v>3.0955E-2</v>
      </c>
      <c r="I4" s="6">
        <v>45930</v>
      </c>
      <c r="J4" t="s">
        <v>23</v>
      </c>
      <c r="K4" s="3">
        <f t="shared" si="0"/>
        <v>5621771</v>
      </c>
      <c r="L4" s="5">
        <f t="shared" si="1"/>
        <v>9099822.0600000005</v>
      </c>
      <c r="M4" s="5">
        <f t="shared" si="2"/>
        <v>1293.5916957574659</v>
      </c>
      <c r="N4" t="str">
        <f t="shared" si="3"/>
        <v>Accelerating</v>
      </c>
      <c r="O4" t="s">
        <v>111</v>
      </c>
    </row>
    <row r="5" spans="1:15">
      <c r="A5" t="s">
        <v>24</v>
      </c>
      <c r="B5" t="s">
        <v>25</v>
      </c>
      <c r="C5" s="3">
        <v>3252846</v>
      </c>
      <c r="D5" s="3">
        <v>941866</v>
      </c>
      <c r="E5" s="4">
        <v>0.40756100000000001</v>
      </c>
      <c r="F5" s="5">
        <v>0</v>
      </c>
      <c r="G5" s="5">
        <v>0</v>
      </c>
      <c r="H5" s="4"/>
      <c r="I5" s="6">
        <v>44544</v>
      </c>
      <c r="J5" t="s">
        <v>18</v>
      </c>
      <c r="K5" s="3">
        <f t="shared" si="0"/>
        <v>2310980</v>
      </c>
      <c r="L5" s="5">
        <f t="shared" si="1"/>
        <v>0</v>
      </c>
      <c r="M5" s="5">
        <f t="shared" si="2"/>
        <v>0</v>
      </c>
      <c r="N5" t="str">
        <f t="shared" si="3"/>
        <v>Accelerating</v>
      </c>
      <c r="O5" t="s">
        <v>111</v>
      </c>
    </row>
    <row r="6" spans="1:15">
      <c r="A6" t="s">
        <v>26</v>
      </c>
      <c r="B6" t="s">
        <v>27</v>
      </c>
      <c r="C6" s="3">
        <v>1639850</v>
      </c>
      <c r="D6" s="3">
        <v>-990082</v>
      </c>
      <c r="E6" s="4">
        <v>-0.376467</v>
      </c>
      <c r="F6" s="5">
        <v>7119923.3300000001</v>
      </c>
      <c r="G6" s="5">
        <v>-170243.28</v>
      </c>
      <c r="H6" s="4">
        <v>-2.3352000000000001E-2</v>
      </c>
      <c r="I6" s="6">
        <v>45471</v>
      </c>
      <c r="J6" t="s">
        <v>28</v>
      </c>
      <c r="K6" s="3">
        <f t="shared" si="0"/>
        <v>2629932</v>
      </c>
      <c r="L6" s="5">
        <f t="shared" si="1"/>
        <v>7290166.6100000003</v>
      </c>
      <c r="M6" s="5">
        <f t="shared" si="2"/>
        <v>4341.8137817483312</v>
      </c>
      <c r="N6" t="str">
        <f t="shared" si="3"/>
        <v>Declining</v>
      </c>
      <c r="O6" t="s">
        <v>111</v>
      </c>
    </row>
    <row r="7" spans="1:15">
      <c r="A7" t="s">
        <v>29</v>
      </c>
      <c r="B7" t="s">
        <v>30</v>
      </c>
      <c r="C7" s="3">
        <v>1405074</v>
      </c>
      <c r="D7" s="3">
        <v>-305307</v>
      </c>
      <c r="E7" s="4">
        <v>-0.17850199999999999</v>
      </c>
      <c r="F7" s="5">
        <v>8434.1299999999992</v>
      </c>
      <c r="G7" s="5">
        <v>-725.65</v>
      </c>
      <c r="H7" s="4">
        <v>-7.9221E-2</v>
      </c>
      <c r="I7" s="6">
        <v>45986</v>
      </c>
      <c r="J7" t="s">
        <v>23</v>
      </c>
      <c r="K7" s="3">
        <f t="shared" si="0"/>
        <v>1710381</v>
      </c>
      <c r="L7" s="5">
        <f t="shared" si="1"/>
        <v>9159.7799999999988</v>
      </c>
      <c r="M7" s="5">
        <f t="shared" si="2"/>
        <v>6.0026233493751926</v>
      </c>
      <c r="N7" t="str">
        <f t="shared" si="3"/>
        <v>Declining</v>
      </c>
      <c r="O7" t="s">
        <v>111</v>
      </c>
    </row>
    <row r="8" spans="1:15">
      <c r="A8" t="s">
        <v>31</v>
      </c>
      <c r="B8" t="s">
        <v>32</v>
      </c>
      <c r="C8" s="3">
        <v>996806</v>
      </c>
      <c r="D8" s="3">
        <v>-137826</v>
      </c>
      <c r="E8" s="4">
        <v>-0.121472</v>
      </c>
      <c r="F8" s="5">
        <v>114.74</v>
      </c>
      <c r="G8" s="5">
        <v>-97.23</v>
      </c>
      <c r="H8" s="4">
        <v>-0.45869700000000002</v>
      </c>
      <c r="I8" s="6">
        <v>43632</v>
      </c>
      <c r="J8" t="s">
        <v>18</v>
      </c>
      <c r="K8" s="3">
        <f t="shared" si="0"/>
        <v>1134632</v>
      </c>
      <c r="L8" s="5">
        <f t="shared" si="1"/>
        <v>211.97</v>
      </c>
      <c r="M8" s="5">
        <f t="shared" si="2"/>
        <v>0.11510765384638535</v>
      </c>
      <c r="N8" t="str">
        <f t="shared" si="3"/>
        <v>Declining</v>
      </c>
      <c r="O8" t="s">
        <v>111</v>
      </c>
    </row>
    <row r="9" spans="1:15">
      <c r="A9" t="s">
        <v>33</v>
      </c>
      <c r="B9" t="s">
        <v>34</v>
      </c>
      <c r="C9" s="3">
        <v>846191</v>
      </c>
      <c r="D9" s="3">
        <v>830512</v>
      </c>
      <c r="E9" s="4">
        <v>52.969704999999998</v>
      </c>
      <c r="F9" s="5">
        <v>810.09</v>
      </c>
      <c r="G9" s="5">
        <v>722.62</v>
      </c>
      <c r="H9" s="4">
        <v>8.2613470000000007</v>
      </c>
      <c r="I9" s="6">
        <v>45905</v>
      </c>
      <c r="J9" t="s">
        <v>23</v>
      </c>
      <c r="K9" s="3">
        <f t="shared" si="0"/>
        <v>15679</v>
      </c>
      <c r="L9" s="5">
        <f t="shared" si="1"/>
        <v>87.470000000000027</v>
      </c>
      <c r="M9" s="5">
        <f t="shared" si="2"/>
        <v>0.95733705510930744</v>
      </c>
      <c r="N9" t="str">
        <f t="shared" si="3"/>
        <v>Accelerating</v>
      </c>
      <c r="O9" t="s">
        <v>111</v>
      </c>
    </row>
    <row r="10" spans="1:15">
      <c r="A10" t="s">
        <v>35</v>
      </c>
      <c r="B10" t="s">
        <v>36</v>
      </c>
      <c r="C10" s="3">
        <v>634004</v>
      </c>
      <c r="D10" s="3">
        <v>-45614</v>
      </c>
      <c r="E10" s="4">
        <v>-6.7116999999999996E-2</v>
      </c>
      <c r="F10" s="5">
        <v>12473.96</v>
      </c>
      <c r="G10" s="5">
        <v>-2994.7</v>
      </c>
      <c r="H10" s="4">
        <v>-0.19359799999999999</v>
      </c>
      <c r="I10" s="6">
        <v>43238</v>
      </c>
      <c r="J10" t="s">
        <v>18</v>
      </c>
      <c r="K10" s="3">
        <f t="shared" si="0"/>
        <v>679618</v>
      </c>
      <c r="L10" s="5">
        <f t="shared" si="1"/>
        <v>15468.66</v>
      </c>
      <c r="M10" s="5">
        <f t="shared" si="2"/>
        <v>19.674891641062199</v>
      </c>
      <c r="N10" t="str">
        <f t="shared" si="3"/>
        <v>Stable</v>
      </c>
      <c r="O10" t="s">
        <v>111</v>
      </c>
    </row>
    <row r="11" spans="1:15">
      <c r="A11" t="s">
        <v>37</v>
      </c>
      <c r="B11" t="s">
        <v>38</v>
      </c>
      <c r="C11" s="3">
        <v>537911</v>
      </c>
      <c r="D11" s="3">
        <v>58679</v>
      </c>
      <c r="E11" s="4">
        <v>0.122444</v>
      </c>
      <c r="F11" s="5">
        <v>3688.61</v>
      </c>
      <c r="G11" s="5">
        <v>3340.13</v>
      </c>
      <c r="H11" s="4">
        <v>9.584854</v>
      </c>
      <c r="I11" s="6">
        <v>45582</v>
      </c>
      <c r="J11" t="s">
        <v>28</v>
      </c>
      <c r="K11" s="3">
        <f t="shared" si="0"/>
        <v>479232</v>
      </c>
      <c r="L11" s="5">
        <f t="shared" si="1"/>
        <v>348.48</v>
      </c>
      <c r="M11" s="5">
        <f t="shared" si="2"/>
        <v>6.8572868002327523</v>
      </c>
      <c r="N11" t="str">
        <f t="shared" si="3"/>
        <v>Growing</v>
      </c>
      <c r="O11" t="s">
        <v>111</v>
      </c>
    </row>
    <row r="12" spans="1:15">
      <c r="A12" t="s">
        <v>39</v>
      </c>
      <c r="B12" t="s">
        <v>40</v>
      </c>
      <c r="C12" s="3">
        <v>525347</v>
      </c>
      <c r="D12" s="3">
        <v>176225</v>
      </c>
      <c r="E12" s="4">
        <v>0.50476600000000005</v>
      </c>
      <c r="F12" s="5">
        <v>2845.68</v>
      </c>
      <c r="G12" s="5">
        <v>303.08999999999997</v>
      </c>
      <c r="H12" s="4">
        <v>0.11920500000000001</v>
      </c>
      <c r="I12" s="6">
        <v>44728</v>
      </c>
      <c r="J12" t="s">
        <v>18</v>
      </c>
      <c r="K12" s="3">
        <f t="shared" si="0"/>
        <v>349122</v>
      </c>
      <c r="L12" s="5">
        <f t="shared" si="1"/>
        <v>2542.5899999999997</v>
      </c>
      <c r="M12" s="5">
        <f t="shared" si="2"/>
        <v>5.4167626349822111</v>
      </c>
      <c r="N12" t="str">
        <f t="shared" si="3"/>
        <v>Accelerating</v>
      </c>
      <c r="O12" t="s">
        <v>111</v>
      </c>
    </row>
    <row r="13" spans="1:15">
      <c r="A13" t="s">
        <v>41</v>
      </c>
      <c r="B13" t="s">
        <v>42</v>
      </c>
      <c r="C13" s="3">
        <v>439916</v>
      </c>
      <c r="D13" s="3">
        <v>-138134</v>
      </c>
      <c r="E13" s="4">
        <v>-0.23896500000000001</v>
      </c>
      <c r="F13" s="5">
        <v>0</v>
      </c>
      <c r="G13" s="5">
        <v>0</v>
      </c>
      <c r="H13" s="4"/>
      <c r="I13" s="6">
        <v>45898</v>
      </c>
      <c r="J13" t="s">
        <v>23</v>
      </c>
      <c r="K13" s="3">
        <f t="shared" si="0"/>
        <v>578050</v>
      </c>
      <c r="L13" s="5">
        <f t="shared" si="1"/>
        <v>0</v>
      </c>
      <c r="M13" s="5">
        <f t="shared" si="2"/>
        <v>0</v>
      </c>
      <c r="N13" t="str">
        <f t="shared" si="3"/>
        <v>Declining</v>
      </c>
      <c r="O13" t="s">
        <v>111</v>
      </c>
    </row>
    <row r="14" spans="1:15">
      <c r="A14" t="s">
        <v>43</v>
      </c>
      <c r="B14" t="s">
        <v>44</v>
      </c>
      <c r="C14" s="3">
        <v>376281</v>
      </c>
      <c r="D14" s="3">
        <v>-140812</v>
      </c>
      <c r="E14" s="4">
        <v>-0.27231499999999997</v>
      </c>
      <c r="F14" s="5">
        <v>0</v>
      </c>
      <c r="G14" s="5">
        <v>0</v>
      </c>
      <c r="H14" s="4"/>
      <c r="I14" s="6">
        <v>46000</v>
      </c>
      <c r="J14" t="s">
        <v>45</v>
      </c>
      <c r="K14" s="3">
        <f t="shared" si="0"/>
        <v>517093</v>
      </c>
      <c r="L14" s="5">
        <f t="shared" si="1"/>
        <v>0</v>
      </c>
      <c r="M14" s="5">
        <f t="shared" si="2"/>
        <v>0</v>
      </c>
      <c r="N14" t="str">
        <f t="shared" si="3"/>
        <v>Declining</v>
      </c>
      <c r="O14" t="s">
        <v>111</v>
      </c>
    </row>
    <row r="15" spans="1:15">
      <c r="A15" t="s">
        <v>46</v>
      </c>
      <c r="B15" t="s">
        <v>47</v>
      </c>
      <c r="C15" s="3">
        <v>373039</v>
      </c>
      <c r="D15" s="3">
        <v>-36777</v>
      </c>
      <c r="E15" s="4">
        <v>-8.974E-2</v>
      </c>
      <c r="F15" s="5">
        <v>309030.46999999997</v>
      </c>
      <c r="G15" s="5">
        <v>803.93</v>
      </c>
      <c r="H15" s="4">
        <v>2.6080000000000001E-3</v>
      </c>
      <c r="I15" s="6">
        <v>45851</v>
      </c>
      <c r="J15" t="s">
        <v>23</v>
      </c>
      <c r="K15" s="3">
        <f t="shared" si="0"/>
        <v>409816</v>
      </c>
      <c r="L15" s="5">
        <f t="shared" si="1"/>
        <v>308226.53999999998</v>
      </c>
      <c r="M15" s="5">
        <f t="shared" si="2"/>
        <v>828.41330263055602</v>
      </c>
      <c r="N15" t="str">
        <f t="shared" si="3"/>
        <v>Stable</v>
      </c>
      <c r="O15" t="s">
        <v>111</v>
      </c>
    </row>
    <row r="16" spans="1:15">
      <c r="A16" t="s">
        <v>48</v>
      </c>
      <c r="B16" t="s">
        <v>49</v>
      </c>
      <c r="C16" s="3">
        <v>352497</v>
      </c>
      <c r="D16" s="3">
        <v>-1951</v>
      </c>
      <c r="E16" s="4">
        <v>-5.5040000000000002E-3</v>
      </c>
      <c r="F16" s="5">
        <v>295.32</v>
      </c>
      <c r="G16" s="5">
        <v>-50.02</v>
      </c>
      <c r="H16" s="4">
        <v>-0.144843</v>
      </c>
      <c r="I16" s="6">
        <v>44102</v>
      </c>
      <c r="J16" t="s">
        <v>18</v>
      </c>
      <c r="K16" s="3">
        <f t="shared" si="0"/>
        <v>354448</v>
      </c>
      <c r="L16" s="5">
        <f t="shared" si="1"/>
        <v>345.34</v>
      </c>
      <c r="M16" s="5">
        <f t="shared" si="2"/>
        <v>0.83779436420735487</v>
      </c>
      <c r="N16" t="str">
        <f t="shared" si="3"/>
        <v>Stable</v>
      </c>
      <c r="O16" t="s">
        <v>111</v>
      </c>
    </row>
    <row r="17" spans="1:15">
      <c r="A17" t="s">
        <v>50</v>
      </c>
      <c r="B17" t="s">
        <v>51</v>
      </c>
      <c r="C17" s="3">
        <v>347438</v>
      </c>
      <c r="D17" s="3">
        <v>-26233</v>
      </c>
      <c r="E17" s="4">
        <v>-7.0203000000000002E-2</v>
      </c>
      <c r="F17" s="5">
        <v>0</v>
      </c>
      <c r="G17" s="5">
        <v>0</v>
      </c>
      <c r="H17" s="4"/>
      <c r="I17" s="6">
        <v>45183</v>
      </c>
      <c r="J17" t="s">
        <v>52</v>
      </c>
      <c r="K17" s="3">
        <f t="shared" si="0"/>
        <v>373671</v>
      </c>
      <c r="L17" s="5">
        <f t="shared" si="1"/>
        <v>0</v>
      </c>
      <c r="M17" s="5">
        <f t="shared" si="2"/>
        <v>0</v>
      </c>
      <c r="N17" t="str">
        <f t="shared" si="3"/>
        <v>Stable</v>
      </c>
      <c r="O17" t="s">
        <v>111</v>
      </c>
    </row>
    <row r="18" spans="1:15">
      <c r="A18" t="s">
        <v>53</v>
      </c>
      <c r="B18" t="s">
        <v>54</v>
      </c>
      <c r="C18" s="3">
        <v>314663</v>
      </c>
      <c r="D18" s="3">
        <v>-56633</v>
      </c>
      <c r="E18" s="4">
        <v>-0.152528</v>
      </c>
      <c r="F18" s="5">
        <v>0</v>
      </c>
      <c r="G18" s="5">
        <v>0</v>
      </c>
      <c r="H18" s="4"/>
      <c r="I18" s="6">
        <v>43622</v>
      </c>
      <c r="J18" t="s">
        <v>18</v>
      </c>
      <c r="K18" s="3">
        <f t="shared" si="0"/>
        <v>371296</v>
      </c>
      <c r="L18" s="5">
        <f t="shared" si="1"/>
        <v>0</v>
      </c>
      <c r="M18" s="5">
        <f t="shared" si="2"/>
        <v>0</v>
      </c>
      <c r="N18" t="str">
        <f t="shared" si="3"/>
        <v>Declining</v>
      </c>
      <c r="O18" t="s">
        <v>111</v>
      </c>
    </row>
    <row r="19" spans="1:15">
      <c r="A19" t="s">
        <v>55</v>
      </c>
      <c r="B19" t="s">
        <v>56</v>
      </c>
      <c r="C19" s="3">
        <v>292250</v>
      </c>
      <c r="D19" s="3">
        <v>-198287</v>
      </c>
      <c r="E19" s="4">
        <v>-0.40422400000000003</v>
      </c>
      <c r="F19" s="5">
        <v>4.9800000000000004</v>
      </c>
      <c r="G19" s="5">
        <v>-2.98</v>
      </c>
      <c r="H19" s="4">
        <v>-0.37437199999999998</v>
      </c>
      <c r="I19" s="6">
        <v>46007</v>
      </c>
      <c r="J19" t="s">
        <v>45</v>
      </c>
      <c r="K19" s="3">
        <f t="shared" si="0"/>
        <v>490537</v>
      </c>
      <c r="L19" s="5">
        <f t="shared" si="1"/>
        <v>7.9600000000000009</v>
      </c>
      <c r="M19" s="5">
        <f t="shared" si="2"/>
        <v>1.7040205303678356E-2</v>
      </c>
      <c r="N19" t="str">
        <f t="shared" si="3"/>
        <v>Declining</v>
      </c>
      <c r="O19" t="s">
        <v>111</v>
      </c>
    </row>
    <row r="20" spans="1:15">
      <c r="A20" t="s">
        <v>35</v>
      </c>
      <c r="B20" t="s">
        <v>57</v>
      </c>
      <c r="C20" s="3">
        <v>275351</v>
      </c>
      <c r="D20" s="3">
        <v>19161</v>
      </c>
      <c r="E20" s="4">
        <v>7.4791999999999997E-2</v>
      </c>
      <c r="F20" s="5">
        <v>0</v>
      </c>
      <c r="G20" s="5">
        <v>0</v>
      </c>
      <c r="H20" s="4"/>
      <c r="I20" s="6">
        <v>42739</v>
      </c>
      <c r="J20" t="s">
        <v>18</v>
      </c>
      <c r="K20" s="3">
        <f t="shared" si="0"/>
        <v>256190</v>
      </c>
      <c r="L20" s="5">
        <f t="shared" si="1"/>
        <v>0</v>
      </c>
      <c r="M20" s="5">
        <f t="shared" si="2"/>
        <v>0</v>
      </c>
      <c r="N20" t="str">
        <f t="shared" si="3"/>
        <v>Growing</v>
      </c>
      <c r="O20" t="s">
        <v>111</v>
      </c>
    </row>
    <row r="21" spans="1:15">
      <c r="A21" t="s">
        <v>58</v>
      </c>
      <c r="B21" t="s">
        <v>59</v>
      </c>
      <c r="C21" s="3">
        <v>266660</v>
      </c>
      <c r="D21" s="3">
        <v>-32278</v>
      </c>
      <c r="E21" s="4">
        <v>-0.107976</v>
      </c>
      <c r="F21" s="5">
        <v>305918.81</v>
      </c>
      <c r="G21" s="5">
        <v>89505.31</v>
      </c>
      <c r="H21" s="4">
        <v>0.41358499999999998</v>
      </c>
      <c r="I21" s="6">
        <v>45801</v>
      </c>
      <c r="J21" t="s">
        <v>23</v>
      </c>
      <c r="K21" s="3">
        <f t="shared" si="0"/>
        <v>298938</v>
      </c>
      <c r="L21" s="5">
        <f t="shared" si="1"/>
        <v>216413.5</v>
      </c>
      <c r="M21" s="5">
        <f t="shared" si="2"/>
        <v>1147.2242181054526</v>
      </c>
      <c r="N21" t="str">
        <f t="shared" si="3"/>
        <v>Declining</v>
      </c>
      <c r="O21" t="s">
        <v>111</v>
      </c>
    </row>
    <row r="22" spans="1:15">
      <c r="A22" t="s">
        <v>60</v>
      </c>
      <c r="B22" t="s">
        <v>61</v>
      </c>
      <c r="C22" s="3">
        <v>254220</v>
      </c>
      <c r="D22" s="3">
        <v>7609</v>
      </c>
      <c r="E22" s="4">
        <v>3.0853999999999999E-2</v>
      </c>
      <c r="F22" s="5">
        <v>1889.16</v>
      </c>
      <c r="G22" s="5">
        <v>-255.54</v>
      </c>
      <c r="H22" s="4">
        <v>-0.11915000000000001</v>
      </c>
      <c r="I22" s="6">
        <v>45629</v>
      </c>
      <c r="J22" t="s">
        <v>28</v>
      </c>
      <c r="K22" s="3">
        <f t="shared" si="0"/>
        <v>246611</v>
      </c>
      <c r="L22" s="5">
        <f t="shared" si="1"/>
        <v>2144.7000000000003</v>
      </c>
      <c r="M22" s="5">
        <f t="shared" si="2"/>
        <v>7.4312013216898753</v>
      </c>
      <c r="N22" t="str">
        <f t="shared" si="3"/>
        <v>Growing</v>
      </c>
      <c r="O22" t="s">
        <v>111</v>
      </c>
    </row>
    <row r="23" spans="1:15">
      <c r="A23" t="s">
        <v>62</v>
      </c>
      <c r="B23" t="s">
        <v>63</v>
      </c>
      <c r="C23" s="3">
        <v>251806</v>
      </c>
      <c r="D23" s="3">
        <v>251806</v>
      </c>
      <c r="E23" s="4"/>
      <c r="F23" s="5">
        <v>0</v>
      </c>
      <c r="G23" s="5">
        <v>0</v>
      </c>
      <c r="H23" s="4"/>
      <c r="I23" s="6">
        <v>46204</v>
      </c>
      <c r="J23" t="s">
        <v>64</v>
      </c>
      <c r="K23" s="3">
        <f t="shared" si="0"/>
        <v>0</v>
      </c>
      <c r="L23" s="5">
        <f t="shared" si="1"/>
        <v>0</v>
      </c>
      <c r="M23" s="5">
        <f t="shared" si="2"/>
        <v>0</v>
      </c>
      <c r="N23" t="str">
        <f t="shared" si="3"/>
        <v>New / no prior</v>
      </c>
      <c r="O23" t="s">
        <v>111</v>
      </c>
    </row>
    <row r="24" spans="1:15">
      <c r="A24" t="s">
        <v>65</v>
      </c>
      <c r="B24" t="s">
        <v>66</v>
      </c>
      <c r="C24" s="3">
        <v>239063</v>
      </c>
      <c r="D24" s="3">
        <v>-20213</v>
      </c>
      <c r="E24" s="4">
        <v>-7.7959000000000001E-2</v>
      </c>
      <c r="F24" s="5">
        <v>5340.68</v>
      </c>
      <c r="G24" s="5">
        <v>-410.44</v>
      </c>
      <c r="H24" s="4">
        <v>-7.1367E-2</v>
      </c>
      <c r="I24" s="6">
        <v>43734</v>
      </c>
      <c r="J24" t="s">
        <v>18</v>
      </c>
      <c r="K24" s="3">
        <f t="shared" si="0"/>
        <v>259276</v>
      </c>
      <c r="L24" s="5">
        <f t="shared" si="1"/>
        <v>5751.12</v>
      </c>
      <c r="M24" s="5">
        <f t="shared" si="2"/>
        <v>22.340052622112164</v>
      </c>
      <c r="N24" t="str">
        <f t="shared" si="3"/>
        <v>Stable</v>
      </c>
      <c r="O24" t="s">
        <v>111</v>
      </c>
    </row>
    <row r="25" spans="1:15">
      <c r="A25" t="s">
        <v>67</v>
      </c>
      <c r="B25" t="s">
        <v>68</v>
      </c>
      <c r="C25" s="3">
        <v>235195</v>
      </c>
      <c r="D25" s="3">
        <v>-840254</v>
      </c>
      <c r="E25" s="4">
        <v>-0.78130500000000003</v>
      </c>
      <c r="F25" s="5">
        <v>2117.77</v>
      </c>
      <c r="G25" s="5">
        <v>1002.26</v>
      </c>
      <c r="H25" s="4">
        <v>0.89847699999999997</v>
      </c>
      <c r="I25" s="6">
        <v>46044</v>
      </c>
      <c r="J25" t="s">
        <v>45</v>
      </c>
      <c r="K25" s="3">
        <f t="shared" si="0"/>
        <v>1075449</v>
      </c>
      <c r="L25" s="5">
        <f t="shared" si="1"/>
        <v>1115.51</v>
      </c>
      <c r="M25" s="5">
        <f t="shared" si="2"/>
        <v>9.0043155679329914</v>
      </c>
      <c r="N25" t="str">
        <f t="shared" si="3"/>
        <v>Declining</v>
      </c>
      <c r="O25" t="s">
        <v>111</v>
      </c>
    </row>
    <row r="26" spans="1:15">
      <c r="A26" t="s">
        <v>69</v>
      </c>
      <c r="B26" t="s">
        <v>70</v>
      </c>
      <c r="C26" s="3">
        <v>232263</v>
      </c>
      <c r="D26" s="3">
        <v>232263</v>
      </c>
      <c r="E26" s="4"/>
      <c r="F26" s="5">
        <v>0</v>
      </c>
      <c r="G26" s="5">
        <v>0</v>
      </c>
      <c r="H26" s="4"/>
      <c r="I26" s="6">
        <v>46209</v>
      </c>
      <c r="J26" t="s">
        <v>64</v>
      </c>
      <c r="K26" s="3">
        <f t="shared" si="0"/>
        <v>0</v>
      </c>
      <c r="L26" s="5">
        <f t="shared" si="1"/>
        <v>0</v>
      </c>
      <c r="M26" s="5">
        <f t="shared" si="2"/>
        <v>0</v>
      </c>
      <c r="N26" t="str">
        <f t="shared" si="3"/>
        <v>New / no prior</v>
      </c>
      <c r="O26" t="s">
        <v>111</v>
      </c>
    </row>
    <row r="27" spans="1:15">
      <c r="A27" t="s">
        <v>71</v>
      </c>
      <c r="B27" t="s">
        <v>72</v>
      </c>
      <c r="C27" s="3">
        <v>231835</v>
      </c>
      <c r="D27" s="3">
        <v>-14819</v>
      </c>
      <c r="E27" s="4">
        <v>-6.0080000000000001E-2</v>
      </c>
      <c r="F27" s="5">
        <v>0</v>
      </c>
      <c r="G27" s="5">
        <v>0</v>
      </c>
      <c r="H27" s="4"/>
      <c r="I27" s="6">
        <v>44740</v>
      </c>
      <c r="J27" t="s">
        <v>18</v>
      </c>
      <c r="K27" s="3">
        <f t="shared" si="0"/>
        <v>246654</v>
      </c>
      <c r="L27" s="5">
        <f t="shared" si="1"/>
        <v>0</v>
      </c>
      <c r="M27" s="5">
        <f t="shared" si="2"/>
        <v>0</v>
      </c>
      <c r="N27" t="str">
        <f t="shared" si="3"/>
        <v>Stable</v>
      </c>
      <c r="O27" t="s">
        <v>111</v>
      </c>
    </row>
    <row r="28" spans="1:15">
      <c r="A28" t="s">
        <v>73</v>
      </c>
      <c r="B28" t="s">
        <v>72</v>
      </c>
      <c r="C28" s="3">
        <v>217267</v>
      </c>
      <c r="D28" s="3">
        <v>-48937</v>
      </c>
      <c r="E28" s="4">
        <v>-0.183833</v>
      </c>
      <c r="F28" s="5">
        <v>0</v>
      </c>
      <c r="G28" s="5">
        <v>0</v>
      </c>
      <c r="H28" s="4"/>
      <c r="I28" s="6">
        <v>45446</v>
      </c>
      <c r="J28" t="s">
        <v>28</v>
      </c>
      <c r="K28" s="3">
        <f t="shared" si="0"/>
        <v>266204</v>
      </c>
      <c r="L28" s="5">
        <f t="shared" si="1"/>
        <v>0</v>
      </c>
      <c r="M28" s="5">
        <f t="shared" si="2"/>
        <v>0</v>
      </c>
      <c r="N28" t="str">
        <f t="shared" si="3"/>
        <v>Declining</v>
      </c>
      <c r="O28" t="s">
        <v>111</v>
      </c>
    </row>
    <row r="29" spans="1:15">
      <c r="A29" t="s">
        <v>35</v>
      </c>
      <c r="B29" t="s">
        <v>74</v>
      </c>
      <c r="C29" s="3">
        <v>195011</v>
      </c>
      <c r="D29" s="3">
        <v>-8650</v>
      </c>
      <c r="E29" s="4">
        <v>-4.2472999999999997E-2</v>
      </c>
      <c r="F29" s="5">
        <v>0</v>
      </c>
      <c r="G29" s="5">
        <v>0</v>
      </c>
      <c r="H29" s="4"/>
      <c r="I29" s="6">
        <v>43536</v>
      </c>
      <c r="J29" t="s">
        <v>18</v>
      </c>
      <c r="K29" s="3">
        <f t="shared" si="0"/>
        <v>203661</v>
      </c>
      <c r="L29" s="5">
        <f t="shared" si="1"/>
        <v>0</v>
      </c>
      <c r="M29" s="5">
        <f t="shared" si="2"/>
        <v>0</v>
      </c>
      <c r="N29" t="str">
        <f t="shared" si="3"/>
        <v>Stable</v>
      </c>
      <c r="O29" t="s">
        <v>111</v>
      </c>
    </row>
    <row r="30" spans="1:15">
      <c r="A30" t="s">
        <v>75</v>
      </c>
      <c r="B30" t="s">
        <v>72</v>
      </c>
      <c r="C30" s="3">
        <v>183642</v>
      </c>
      <c r="D30" s="3">
        <v>-46591</v>
      </c>
      <c r="E30" s="4">
        <v>-0.20236499999999999</v>
      </c>
      <c r="F30" s="5">
        <v>4.49</v>
      </c>
      <c r="G30" s="5">
        <v>-3775.41</v>
      </c>
      <c r="H30" s="4">
        <v>-0.99881200000000003</v>
      </c>
      <c r="I30" s="6">
        <v>44740</v>
      </c>
      <c r="J30" t="s">
        <v>18</v>
      </c>
      <c r="K30" s="3">
        <f t="shared" si="0"/>
        <v>230233</v>
      </c>
      <c r="L30" s="5">
        <f t="shared" si="1"/>
        <v>3779.8999999999996</v>
      </c>
      <c r="M30" s="5">
        <f t="shared" si="2"/>
        <v>2.4449744611799044E-2</v>
      </c>
      <c r="N30" t="str">
        <f t="shared" si="3"/>
        <v>Declining</v>
      </c>
      <c r="O30" t="s">
        <v>111</v>
      </c>
    </row>
    <row r="31" spans="1:15">
      <c r="A31" t="s">
        <v>76</v>
      </c>
      <c r="B31" t="s">
        <v>77</v>
      </c>
      <c r="C31" s="3">
        <v>171917</v>
      </c>
      <c r="D31" s="3">
        <v>22522</v>
      </c>
      <c r="E31" s="4">
        <v>0.150755</v>
      </c>
      <c r="F31" s="5">
        <v>10.11</v>
      </c>
      <c r="G31" s="5">
        <v>-0.34</v>
      </c>
      <c r="H31" s="4">
        <v>-3.2536000000000002E-2</v>
      </c>
      <c r="I31" s="6">
        <v>45664</v>
      </c>
      <c r="J31" t="s">
        <v>28</v>
      </c>
      <c r="K31" s="3">
        <f t="shared" si="0"/>
        <v>149395</v>
      </c>
      <c r="L31" s="5">
        <f t="shared" si="1"/>
        <v>10.45</v>
      </c>
      <c r="M31" s="5">
        <f t="shared" si="2"/>
        <v>5.8807447780033384E-2</v>
      </c>
      <c r="N31" t="str">
        <f t="shared" si="3"/>
        <v>Growing</v>
      </c>
      <c r="O31" t="s">
        <v>111</v>
      </c>
    </row>
    <row r="32" spans="1:15">
      <c r="A32" t="s">
        <v>78</v>
      </c>
      <c r="B32" t="s">
        <v>79</v>
      </c>
      <c r="C32" s="3">
        <v>169554</v>
      </c>
      <c r="D32" s="3">
        <v>10911</v>
      </c>
      <c r="E32" s="4">
        <v>6.8777000000000005E-2</v>
      </c>
      <c r="F32" s="5">
        <v>0</v>
      </c>
      <c r="G32" s="5">
        <v>0</v>
      </c>
      <c r="H32" s="4"/>
      <c r="I32" s="6">
        <v>45943</v>
      </c>
      <c r="J32" t="s">
        <v>23</v>
      </c>
      <c r="K32" s="3">
        <f t="shared" si="0"/>
        <v>158643</v>
      </c>
      <c r="L32" s="5">
        <f t="shared" si="1"/>
        <v>0</v>
      </c>
      <c r="M32" s="5">
        <f t="shared" si="2"/>
        <v>0</v>
      </c>
      <c r="N32" t="str">
        <f t="shared" si="3"/>
        <v>Growing</v>
      </c>
      <c r="O32" t="s">
        <v>111</v>
      </c>
    </row>
    <row r="33" spans="1:15">
      <c r="A33" t="s">
        <v>80</v>
      </c>
      <c r="B33" t="s">
        <v>81</v>
      </c>
      <c r="C33" s="3">
        <v>165920</v>
      </c>
      <c r="D33" s="3">
        <v>53062</v>
      </c>
      <c r="E33" s="4">
        <v>0.47016599999999997</v>
      </c>
      <c r="F33" s="5">
        <v>13.76</v>
      </c>
      <c r="G33" s="5">
        <v>9.17</v>
      </c>
      <c r="H33" s="4">
        <v>1.9978210000000001</v>
      </c>
      <c r="I33" s="6">
        <v>45418</v>
      </c>
      <c r="J33" t="s">
        <v>52</v>
      </c>
      <c r="K33" s="3">
        <f t="shared" si="0"/>
        <v>112858</v>
      </c>
      <c r="L33" s="5">
        <f t="shared" si="1"/>
        <v>4.59</v>
      </c>
      <c r="M33" s="5">
        <f t="shared" si="2"/>
        <v>8.2931533269045316E-2</v>
      </c>
      <c r="N33" t="str">
        <f t="shared" si="3"/>
        <v>Accelerating</v>
      </c>
      <c r="O33" t="s">
        <v>111</v>
      </c>
    </row>
    <row r="34" spans="1:15">
      <c r="A34" t="s">
        <v>82</v>
      </c>
      <c r="B34" t="s">
        <v>83</v>
      </c>
      <c r="C34" s="3">
        <v>165609</v>
      </c>
      <c r="D34" s="3">
        <v>41484</v>
      </c>
      <c r="E34" s="4">
        <v>0.33421099999999998</v>
      </c>
      <c r="F34" s="5">
        <v>0</v>
      </c>
      <c r="G34" s="5">
        <v>0</v>
      </c>
      <c r="H34" s="4"/>
      <c r="I34" s="6">
        <v>43399</v>
      </c>
      <c r="J34" t="s">
        <v>18</v>
      </c>
      <c r="K34" s="3">
        <f t="shared" ref="K34:K50" si="4">C34-D34</f>
        <v>124125</v>
      </c>
      <c r="L34" s="5">
        <f t="shared" ref="L34:L50" si="5">F34-G34</f>
        <v>0</v>
      </c>
      <c r="M34" s="5">
        <f t="shared" ref="M34:M50" si="6">IF(C34=0,"",F34/C34*1000)</f>
        <v>0</v>
      </c>
      <c r="N34" t="str">
        <f t="shared" ref="N34:N50" si="7">IF(ISBLANK(E34),"New / no prior",IF(E34&gt;=0.2,"Accelerating",IF(E34&gt;0,"Growing",IF(E34&gt;=-0.1,"Stable","Declining"))))</f>
        <v>Accelerating</v>
      </c>
      <c r="O34" t="s">
        <v>111</v>
      </c>
    </row>
    <row r="35" spans="1:15">
      <c r="A35" t="s">
        <v>84</v>
      </c>
      <c r="B35" t="s">
        <v>85</v>
      </c>
      <c r="C35" s="3">
        <v>164355</v>
      </c>
      <c r="D35" s="3">
        <v>-10001</v>
      </c>
      <c r="E35" s="4">
        <v>-5.7360000000000001E-2</v>
      </c>
      <c r="F35" s="5">
        <v>6039.51</v>
      </c>
      <c r="G35" s="5">
        <v>2945.8</v>
      </c>
      <c r="H35" s="4">
        <v>0.95218999999999998</v>
      </c>
      <c r="I35" s="6">
        <v>46078</v>
      </c>
      <c r="J35" t="s">
        <v>45</v>
      </c>
      <c r="K35" s="3">
        <f t="shared" si="4"/>
        <v>174356</v>
      </c>
      <c r="L35" s="5">
        <f t="shared" si="5"/>
        <v>3093.71</v>
      </c>
      <c r="M35" s="5">
        <f t="shared" si="6"/>
        <v>36.746737245596428</v>
      </c>
      <c r="N35" t="str">
        <f t="shared" si="7"/>
        <v>Stable</v>
      </c>
      <c r="O35" t="s">
        <v>111</v>
      </c>
    </row>
    <row r="36" spans="1:15">
      <c r="A36" t="s">
        <v>86</v>
      </c>
      <c r="B36" t="s">
        <v>38</v>
      </c>
      <c r="C36" s="3">
        <v>159969</v>
      </c>
      <c r="D36" s="3">
        <v>4185</v>
      </c>
      <c r="E36" s="4">
        <v>2.6863999999999999E-2</v>
      </c>
      <c r="F36" s="5">
        <v>0.02</v>
      </c>
      <c r="G36" s="5">
        <v>-0.03</v>
      </c>
      <c r="H36" s="4">
        <v>-0.6</v>
      </c>
      <c r="I36" s="6">
        <v>43901</v>
      </c>
      <c r="J36" t="s">
        <v>18</v>
      </c>
      <c r="K36" s="3">
        <f t="shared" si="4"/>
        <v>155784</v>
      </c>
      <c r="L36" s="5">
        <f t="shared" si="5"/>
        <v>0.05</v>
      </c>
      <c r="M36" s="5">
        <f t="shared" si="6"/>
        <v>1.2502422344329214E-4</v>
      </c>
      <c r="N36" t="str">
        <f t="shared" si="7"/>
        <v>Growing</v>
      </c>
      <c r="O36" t="s">
        <v>111</v>
      </c>
    </row>
    <row r="37" spans="1:15">
      <c r="A37" t="s">
        <v>87</v>
      </c>
      <c r="B37" t="s">
        <v>72</v>
      </c>
      <c r="C37" s="3">
        <v>145947</v>
      </c>
      <c r="D37" s="3">
        <v>-40508</v>
      </c>
      <c r="E37" s="4">
        <v>-0.217253</v>
      </c>
      <c r="F37" s="5">
        <v>0</v>
      </c>
      <c r="G37" s="5">
        <v>0</v>
      </c>
      <c r="H37" s="4"/>
      <c r="I37" s="6">
        <v>45602</v>
      </c>
      <c r="J37" t="s">
        <v>28</v>
      </c>
      <c r="K37" s="3">
        <f t="shared" si="4"/>
        <v>186455</v>
      </c>
      <c r="L37" s="5">
        <f t="shared" si="5"/>
        <v>0</v>
      </c>
      <c r="M37" s="5">
        <f t="shared" si="6"/>
        <v>0</v>
      </c>
      <c r="N37" t="str">
        <f t="shared" si="7"/>
        <v>Declining</v>
      </c>
      <c r="O37" t="s">
        <v>111</v>
      </c>
    </row>
    <row r="38" spans="1:15">
      <c r="A38" t="s">
        <v>88</v>
      </c>
      <c r="B38" t="s">
        <v>47</v>
      </c>
      <c r="C38" s="3">
        <v>142076</v>
      </c>
      <c r="D38" s="3">
        <v>137062</v>
      </c>
      <c r="E38" s="4">
        <v>27.33586</v>
      </c>
      <c r="F38" s="5">
        <v>996.41</v>
      </c>
      <c r="G38" s="5">
        <v>802.43</v>
      </c>
      <c r="H38" s="4">
        <v>4.1366639999999997</v>
      </c>
      <c r="I38" s="6">
        <v>46099</v>
      </c>
      <c r="J38" t="s">
        <v>45</v>
      </c>
      <c r="K38" s="3">
        <f t="shared" si="4"/>
        <v>5014</v>
      </c>
      <c r="L38" s="5">
        <f t="shared" si="5"/>
        <v>193.98000000000002</v>
      </c>
      <c r="M38" s="5">
        <f t="shared" si="6"/>
        <v>7.013218277541597</v>
      </c>
      <c r="N38" t="str">
        <f t="shared" si="7"/>
        <v>Accelerating</v>
      </c>
      <c r="O38" t="s">
        <v>111</v>
      </c>
    </row>
    <row r="39" spans="1:15">
      <c r="A39" t="s">
        <v>89</v>
      </c>
      <c r="B39" t="s">
        <v>90</v>
      </c>
      <c r="C39" s="3">
        <v>140742</v>
      </c>
      <c r="D39" s="3">
        <v>-7641</v>
      </c>
      <c r="E39" s="4">
        <v>-5.1494999999999999E-2</v>
      </c>
      <c r="F39" s="5">
        <v>0</v>
      </c>
      <c r="G39" s="5">
        <v>0</v>
      </c>
      <c r="H39" s="4"/>
      <c r="I39" s="6">
        <v>45824</v>
      </c>
      <c r="J39" t="s">
        <v>23</v>
      </c>
      <c r="K39" s="3">
        <f t="shared" si="4"/>
        <v>148383</v>
      </c>
      <c r="L39" s="5">
        <f t="shared" si="5"/>
        <v>0</v>
      </c>
      <c r="M39" s="5">
        <f t="shared" si="6"/>
        <v>0</v>
      </c>
      <c r="N39" t="str">
        <f t="shared" si="7"/>
        <v>Stable</v>
      </c>
      <c r="O39" t="s">
        <v>111</v>
      </c>
    </row>
    <row r="40" spans="1:15">
      <c r="A40" t="s">
        <v>91</v>
      </c>
      <c r="B40" t="s">
        <v>92</v>
      </c>
      <c r="C40" s="3">
        <v>140135</v>
      </c>
      <c r="D40" s="3">
        <v>35516</v>
      </c>
      <c r="E40" s="4">
        <v>0.33947899999999998</v>
      </c>
      <c r="F40" s="5">
        <v>89272.74</v>
      </c>
      <c r="G40" s="5">
        <v>2744.81</v>
      </c>
      <c r="H40" s="4">
        <v>3.1722E-2</v>
      </c>
      <c r="I40" s="6">
        <v>45730</v>
      </c>
      <c r="J40" t="s">
        <v>28</v>
      </c>
      <c r="K40" s="3">
        <f t="shared" si="4"/>
        <v>104619</v>
      </c>
      <c r="L40" s="5">
        <f t="shared" si="5"/>
        <v>86527.930000000008</v>
      </c>
      <c r="M40" s="5">
        <f t="shared" si="6"/>
        <v>637.04813215827596</v>
      </c>
      <c r="N40" t="str">
        <f t="shared" si="7"/>
        <v>Accelerating</v>
      </c>
      <c r="O40" t="s">
        <v>111</v>
      </c>
    </row>
    <row r="41" spans="1:15">
      <c r="A41" t="s">
        <v>93</v>
      </c>
      <c r="B41" t="s">
        <v>42</v>
      </c>
      <c r="C41" s="3">
        <v>135920</v>
      </c>
      <c r="D41" s="3">
        <v>-173049</v>
      </c>
      <c r="E41" s="4">
        <v>-0.56008500000000006</v>
      </c>
      <c r="F41" s="5">
        <v>0</v>
      </c>
      <c r="G41" s="5">
        <v>0</v>
      </c>
      <c r="H41" s="4"/>
      <c r="I41" s="6">
        <v>46070</v>
      </c>
      <c r="J41" t="s">
        <v>45</v>
      </c>
      <c r="K41" s="3">
        <f t="shared" si="4"/>
        <v>308969</v>
      </c>
      <c r="L41" s="5">
        <f t="shared" si="5"/>
        <v>0</v>
      </c>
      <c r="M41" s="5">
        <f t="shared" si="6"/>
        <v>0</v>
      </c>
      <c r="N41" t="str">
        <f t="shared" si="7"/>
        <v>Declining</v>
      </c>
      <c r="O41" t="s">
        <v>111</v>
      </c>
    </row>
    <row r="42" spans="1:15">
      <c r="A42" t="s">
        <v>94</v>
      </c>
      <c r="B42" t="s">
        <v>72</v>
      </c>
      <c r="C42" s="3">
        <v>130679</v>
      </c>
      <c r="D42" s="3">
        <v>-76140</v>
      </c>
      <c r="E42" s="4">
        <v>-0.36814799999999998</v>
      </c>
      <c r="F42" s="5">
        <v>0</v>
      </c>
      <c r="G42" s="5">
        <v>0</v>
      </c>
      <c r="H42" s="4"/>
      <c r="I42" s="6">
        <v>44587</v>
      </c>
      <c r="J42" t="s">
        <v>18</v>
      </c>
      <c r="K42" s="3">
        <f t="shared" si="4"/>
        <v>206819</v>
      </c>
      <c r="L42" s="5">
        <f t="shared" si="5"/>
        <v>0</v>
      </c>
      <c r="M42" s="5">
        <f t="shared" si="6"/>
        <v>0</v>
      </c>
      <c r="N42" t="str">
        <f t="shared" si="7"/>
        <v>Declining</v>
      </c>
      <c r="O42" t="s">
        <v>111</v>
      </c>
    </row>
    <row r="43" spans="1:15">
      <c r="A43" t="s">
        <v>95</v>
      </c>
      <c r="B43" t="s">
        <v>96</v>
      </c>
      <c r="C43" s="3">
        <v>129301</v>
      </c>
      <c r="D43" s="3">
        <v>-11606</v>
      </c>
      <c r="E43" s="4">
        <v>-8.2365999999999995E-2</v>
      </c>
      <c r="F43" s="5">
        <v>239.57</v>
      </c>
      <c r="G43" s="5">
        <v>-6.6</v>
      </c>
      <c r="H43" s="4">
        <v>-2.6811000000000001E-2</v>
      </c>
      <c r="I43" s="6">
        <v>45167</v>
      </c>
      <c r="J43" t="s">
        <v>52</v>
      </c>
      <c r="K43" s="3">
        <f t="shared" si="4"/>
        <v>140907</v>
      </c>
      <c r="L43" s="5">
        <f t="shared" si="5"/>
        <v>246.17</v>
      </c>
      <c r="M43" s="5">
        <f t="shared" si="6"/>
        <v>1.8528085629654836</v>
      </c>
      <c r="N43" t="str">
        <f t="shared" si="7"/>
        <v>Stable</v>
      </c>
      <c r="O43" t="s">
        <v>111</v>
      </c>
    </row>
    <row r="44" spans="1:15">
      <c r="A44" t="s">
        <v>97</v>
      </c>
      <c r="B44" t="s">
        <v>98</v>
      </c>
      <c r="C44" s="3">
        <v>124317</v>
      </c>
      <c r="D44" s="3">
        <v>124317</v>
      </c>
      <c r="E44" s="4"/>
      <c r="F44" s="5">
        <v>0</v>
      </c>
      <c r="G44" s="5">
        <v>0</v>
      </c>
      <c r="H44" s="4"/>
      <c r="I44" s="6">
        <v>46209</v>
      </c>
      <c r="J44" t="s">
        <v>64</v>
      </c>
      <c r="K44" s="3">
        <f t="shared" si="4"/>
        <v>0</v>
      </c>
      <c r="L44" s="5">
        <f t="shared" si="5"/>
        <v>0</v>
      </c>
      <c r="M44" s="5">
        <f t="shared" si="6"/>
        <v>0</v>
      </c>
      <c r="N44" t="str">
        <f t="shared" si="7"/>
        <v>New / no prior</v>
      </c>
      <c r="O44" t="s">
        <v>111</v>
      </c>
    </row>
    <row r="45" spans="1:15">
      <c r="A45" t="s">
        <v>99</v>
      </c>
      <c r="B45" t="s">
        <v>34</v>
      </c>
      <c r="C45" s="3">
        <v>123313</v>
      </c>
      <c r="D45" s="3">
        <v>-86171</v>
      </c>
      <c r="E45" s="4">
        <v>-0.41134900000000002</v>
      </c>
      <c r="F45" s="5">
        <v>44153.78</v>
      </c>
      <c r="G45" s="5">
        <v>-1476.56</v>
      </c>
      <c r="H45" s="4">
        <v>-3.2358999999999999E-2</v>
      </c>
      <c r="I45" s="6">
        <v>45789</v>
      </c>
      <c r="J45" t="s">
        <v>23</v>
      </c>
      <c r="K45" s="3">
        <f t="shared" si="4"/>
        <v>209484</v>
      </c>
      <c r="L45" s="5">
        <f t="shared" si="5"/>
        <v>45630.34</v>
      </c>
      <c r="M45" s="5">
        <f t="shared" si="6"/>
        <v>358.062653572616</v>
      </c>
      <c r="N45" t="str">
        <f t="shared" si="7"/>
        <v>Declining</v>
      </c>
      <c r="O45" t="s">
        <v>111</v>
      </c>
    </row>
    <row r="46" spans="1:15">
      <c r="A46" t="s">
        <v>100</v>
      </c>
      <c r="B46" t="s">
        <v>101</v>
      </c>
      <c r="C46" s="3">
        <v>119019</v>
      </c>
      <c r="D46" s="3">
        <v>-162505</v>
      </c>
      <c r="E46" s="4">
        <v>-0.577233</v>
      </c>
      <c r="F46" s="5">
        <v>0</v>
      </c>
      <c r="G46" s="5">
        <v>0</v>
      </c>
      <c r="H46" s="4"/>
      <c r="I46" s="6">
        <v>45363</v>
      </c>
      <c r="J46" t="s">
        <v>52</v>
      </c>
      <c r="K46" s="3">
        <f t="shared" si="4"/>
        <v>281524</v>
      </c>
      <c r="L46" s="5">
        <f t="shared" si="5"/>
        <v>0</v>
      </c>
      <c r="M46" s="5">
        <f t="shared" si="6"/>
        <v>0</v>
      </c>
      <c r="N46" t="str">
        <f t="shared" si="7"/>
        <v>Declining</v>
      </c>
      <c r="O46" t="s">
        <v>111</v>
      </c>
    </row>
    <row r="47" spans="1:15">
      <c r="A47" t="s">
        <v>102</v>
      </c>
      <c r="B47" t="s">
        <v>103</v>
      </c>
      <c r="C47" s="3">
        <v>112636</v>
      </c>
      <c r="D47" s="3">
        <v>112636</v>
      </c>
      <c r="E47" s="4"/>
      <c r="F47" s="5">
        <v>0</v>
      </c>
      <c r="G47" s="5">
        <v>0</v>
      </c>
      <c r="H47" s="4"/>
      <c r="I47" s="6">
        <v>46203</v>
      </c>
      <c r="J47" t="s">
        <v>64</v>
      </c>
      <c r="K47" s="3">
        <f t="shared" si="4"/>
        <v>0</v>
      </c>
      <c r="L47" s="5">
        <f t="shared" si="5"/>
        <v>0</v>
      </c>
      <c r="M47" s="5">
        <f t="shared" si="6"/>
        <v>0</v>
      </c>
      <c r="N47" t="str">
        <f t="shared" si="7"/>
        <v>New / no prior</v>
      </c>
      <c r="O47" t="s">
        <v>111</v>
      </c>
    </row>
    <row r="48" spans="1:15">
      <c r="A48" t="s">
        <v>104</v>
      </c>
      <c r="B48" t="s">
        <v>105</v>
      </c>
      <c r="C48" s="3">
        <v>109614</v>
      </c>
      <c r="D48" s="3">
        <v>103673</v>
      </c>
      <c r="E48" s="4">
        <v>17.450429</v>
      </c>
      <c r="F48" s="5">
        <v>0</v>
      </c>
      <c r="G48" s="5">
        <v>0</v>
      </c>
      <c r="H48" s="4"/>
      <c r="I48" s="6"/>
      <c r="K48" s="3">
        <f t="shared" si="4"/>
        <v>5941</v>
      </c>
      <c r="L48" s="5">
        <f t="shared" si="5"/>
        <v>0</v>
      </c>
      <c r="M48" s="5">
        <f t="shared" si="6"/>
        <v>0</v>
      </c>
      <c r="N48" t="str">
        <f t="shared" si="7"/>
        <v>Accelerating</v>
      </c>
      <c r="O48" t="s">
        <v>111</v>
      </c>
    </row>
    <row r="49" spans="1:15">
      <c r="A49" t="s">
        <v>106</v>
      </c>
      <c r="B49" t="s">
        <v>107</v>
      </c>
      <c r="C49" s="3">
        <v>108470</v>
      </c>
      <c r="D49" s="3">
        <v>-5225</v>
      </c>
      <c r="E49" s="4">
        <v>-4.5955999999999997E-2</v>
      </c>
      <c r="F49" s="5">
        <v>5177.1400000000003</v>
      </c>
      <c r="G49" s="5">
        <v>-550.08000000000004</v>
      </c>
      <c r="H49" s="4">
        <v>-9.6046999999999993E-2</v>
      </c>
      <c r="I49" s="6">
        <v>43776</v>
      </c>
      <c r="J49" t="s">
        <v>18</v>
      </c>
      <c r="K49" s="3">
        <f t="shared" si="4"/>
        <v>113695</v>
      </c>
      <c r="L49" s="5">
        <f t="shared" si="5"/>
        <v>5727.22</v>
      </c>
      <c r="M49" s="5">
        <f t="shared" si="6"/>
        <v>47.728772932608095</v>
      </c>
      <c r="N49" t="str">
        <f t="shared" si="7"/>
        <v>Stable</v>
      </c>
      <c r="O49" t="s">
        <v>111</v>
      </c>
    </row>
    <row r="50" spans="1:15">
      <c r="A50" t="s">
        <v>108</v>
      </c>
      <c r="B50" t="s">
        <v>109</v>
      </c>
      <c r="C50" s="3">
        <v>107576</v>
      </c>
      <c r="D50" s="3">
        <v>105525</v>
      </c>
      <c r="E50" s="4">
        <v>51.450512000000003</v>
      </c>
      <c r="F50" s="5">
        <v>0</v>
      </c>
      <c r="G50" s="5">
        <v>0</v>
      </c>
      <c r="H50" s="4"/>
      <c r="I50" s="6">
        <v>46186</v>
      </c>
      <c r="J50" t="s">
        <v>110</v>
      </c>
      <c r="K50" s="3">
        <f t="shared" si="4"/>
        <v>2051</v>
      </c>
      <c r="L50" s="5">
        <f t="shared" si="5"/>
        <v>0</v>
      </c>
      <c r="M50" s="5">
        <f t="shared" si="6"/>
        <v>0</v>
      </c>
      <c r="N50" t="str">
        <f t="shared" si="7"/>
        <v>Accelerating</v>
      </c>
      <c r="O50" t="s">
        <v>111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66CE-A6EB-44CF-B57C-128C3BF9B1BF}">
  <sheetPr>
    <tabColor rgb="FFED7D31"/>
  </sheetPr>
  <dimension ref="A1:O25"/>
  <sheetViews>
    <sheetView showGridLines="0" tabSelected="1" workbookViewId="0">
      <pane ySplit="1" topLeftCell="A2" activePane="bottomLeft" state="frozen"/>
      <selection pane="bottomLeft" activeCell="C2" sqref="C2"/>
    </sheetView>
  </sheetViews>
  <sheetFormatPr defaultRowHeight="14.5"/>
  <cols>
    <col min="1" max="1" width="40" customWidth="1"/>
    <col min="2" max="2" width="27.26953125" customWidth="1"/>
    <col min="3" max="13" width="16.36328125" customWidth="1"/>
    <col min="14" max="14" width="20" customWidth="1"/>
    <col min="15" max="15" width="26.36328125" customWidth="1"/>
  </cols>
  <sheetData>
    <row r="1" spans="1: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>
      <c r="A2" t="s">
        <v>112</v>
      </c>
      <c r="B2" t="s">
        <v>107</v>
      </c>
      <c r="C2" s="3">
        <v>9440900</v>
      </c>
      <c r="D2" s="3">
        <v>-1288660</v>
      </c>
      <c r="E2" s="4">
        <v>-0.120104</v>
      </c>
      <c r="F2" s="5">
        <v>158565.75</v>
      </c>
      <c r="G2" s="5">
        <v>5449.67</v>
      </c>
      <c r="H2" s="4">
        <v>3.5591999999999999E-2</v>
      </c>
      <c r="I2" s="6">
        <v>45261</v>
      </c>
      <c r="J2" t="s">
        <v>52</v>
      </c>
      <c r="K2" s="3">
        <f t="shared" ref="K2:K25" si="0">C2-D2</f>
        <v>10729560</v>
      </c>
      <c r="L2" s="5">
        <f t="shared" ref="L2:L25" si="1">F2-G2</f>
        <v>153116.07999999999</v>
      </c>
      <c r="M2" s="5">
        <f t="shared" ref="M2:M25" si="2">IF(C2=0,"",F2/C2*1000)</f>
        <v>16.795618002520946</v>
      </c>
      <c r="N2" t="str">
        <f t="shared" ref="N2:N25" si="3">IF(ISBLANK(E2),"New / no prior",IF(E2&gt;=0.2,"Accelerating",IF(E2&gt;0,"Growing",IF(E2&gt;=-0.1,"Stable","Declining"))))</f>
        <v>Declining</v>
      </c>
      <c r="O2" t="s">
        <v>150</v>
      </c>
    </row>
    <row r="3" spans="1:15">
      <c r="A3" t="s">
        <v>113</v>
      </c>
      <c r="B3" t="s">
        <v>103</v>
      </c>
      <c r="C3" s="3">
        <v>5065843</v>
      </c>
      <c r="D3" s="3">
        <v>1561100</v>
      </c>
      <c r="E3" s="4">
        <v>0.44542500000000002</v>
      </c>
      <c r="F3" s="5">
        <v>2252.46</v>
      </c>
      <c r="G3" s="5">
        <v>1850.6</v>
      </c>
      <c r="H3" s="4">
        <v>4.605086</v>
      </c>
      <c r="I3" s="6">
        <v>45831</v>
      </c>
      <c r="J3" t="s">
        <v>23</v>
      </c>
      <c r="K3" s="3">
        <f t="shared" si="0"/>
        <v>3504743</v>
      </c>
      <c r="L3" s="5">
        <f t="shared" si="1"/>
        <v>401.86000000000013</v>
      </c>
      <c r="M3" s="5">
        <f t="shared" si="2"/>
        <v>0.44463675640954531</v>
      </c>
      <c r="N3" t="str">
        <f t="shared" si="3"/>
        <v>Accelerating</v>
      </c>
      <c r="O3" t="s">
        <v>150</v>
      </c>
    </row>
    <row r="4" spans="1:15">
      <c r="A4" t="s">
        <v>114</v>
      </c>
      <c r="B4" t="s">
        <v>115</v>
      </c>
      <c r="C4" s="3">
        <v>2347780</v>
      </c>
      <c r="D4" s="3">
        <v>631290</v>
      </c>
      <c r="E4" s="4">
        <v>0.36778</v>
      </c>
      <c r="F4" s="5">
        <v>326.39</v>
      </c>
      <c r="G4" s="5">
        <v>180.72</v>
      </c>
      <c r="H4" s="4">
        <v>1.240612</v>
      </c>
      <c r="I4" s="6">
        <v>46044</v>
      </c>
      <c r="J4" t="s">
        <v>45</v>
      </c>
      <c r="K4" s="3">
        <f t="shared" si="0"/>
        <v>1716490</v>
      </c>
      <c r="L4" s="5">
        <f t="shared" si="1"/>
        <v>145.66999999999999</v>
      </c>
      <c r="M4" s="5">
        <f t="shared" si="2"/>
        <v>0.13902069188765556</v>
      </c>
      <c r="N4" t="str">
        <f t="shared" si="3"/>
        <v>Accelerating</v>
      </c>
      <c r="O4" t="s">
        <v>150</v>
      </c>
    </row>
    <row r="5" spans="1:15">
      <c r="A5" t="s">
        <v>116</v>
      </c>
      <c r="B5" t="s">
        <v>42</v>
      </c>
      <c r="C5" s="3">
        <v>1166304</v>
      </c>
      <c r="D5" s="3">
        <v>-630161</v>
      </c>
      <c r="E5" s="4">
        <v>-0.35077799999999998</v>
      </c>
      <c r="F5" s="5">
        <v>0</v>
      </c>
      <c r="G5" s="5">
        <v>0</v>
      </c>
      <c r="H5" s="4"/>
      <c r="I5" s="6">
        <v>46129</v>
      </c>
      <c r="J5" t="s">
        <v>110</v>
      </c>
      <c r="K5" s="3">
        <f t="shared" si="0"/>
        <v>1796465</v>
      </c>
      <c r="L5" s="5">
        <f t="shared" si="1"/>
        <v>0</v>
      </c>
      <c r="M5" s="5">
        <f t="shared" si="2"/>
        <v>0</v>
      </c>
      <c r="N5" t="str">
        <f t="shared" si="3"/>
        <v>Declining</v>
      </c>
      <c r="O5" t="s">
        <v>150</v>
      </c>
    </row>
    <row r="6" spans="1:15">
      <c r="A6" t="s">
        <v>117</v>
      </c>
      <c r="B6" t="s">
        <v>42</v>
      </c>
      <c r="C6" s="3">
        <v>740650</v>
      </c>
      <c r="D6" s="3">
        <v>-317981</v>
      </c>
      <c r="E6" s="4">
        <v>-0.30037000000000003</v>
      </c>
      <c r="F6" s="5">
        <v>3497.24</v>
      </c>
      <c r="G6" s="5">
        <v>-755.45</v>
      </c>
      <c r="H6" s="4">
        <v>-0.17764099999999999</v>
      </c>
      <c r="I6" s="6">
        <v>46070</v>
      </c>
      <c r="J6" t="s">
        <v>45</v>
      </c>
      <c r="K6" s="3">
        <f t="shared" si="0"/>
        <v>1058631</v>
      </c>
      <c r="L6" s="5">
        <f t="shared" si="1"/>
        <v>4252.6899999999996</v>
      </c>
      <c r="M6" s="5">
        <f t="shared" si="2"/>
        <v>4.7218524269222977</v>
      </c>
      <c r="N6" t="str">
        <f t="shared" si="3"/>
        <v>Declining</v>
      </c>
      <c r="O6" t="s">
        <v>150</v>
      </c>
    </row>
    <row r="7" spans="1:15">
      <c r="A7" t="s">
        <v>118</v>
      </c>
      <c r="B7" t="s">
        <v>119</v>
      </c>
      <c r="C7" s="3">
        <v>640526</v>
      </c>
      <c r="D7" s="3">
        <v>91788</v>
      </c>
      <c r="E7" s="4">
        <v>0.167271</v>
      </c>
      <c r="F7" s="5">
        <v>0</v>
      </c>
      <c r="G7" s="5">
        <v>0</v>
      </c>
      <c r="H7" s="4"/>
      <c r="I7" s="6"/>
      <c r="K7" s="3">
        <f t="shared" si="0"/>
        <v>548738</v>
      </c>
      <c r="L7" s="5">
        <f t="shared" si="1"/>
        <v>0</v>
      </c>
      <c r="M7" s="5">
        <f t="shared" si="2"/>
        <v>0</v>
      </c>
      <c r="N7" t="str">
        <f t="shared" si="3"/>
        <v>Growing</v>
      </c>
      <c r="O7" t="s">
        <v>150</v>
      </c>
    </row>
    <row r="8" spans="1:15">
      <c r="A8" t="s">
        <v>120</v>
      </c>
      <c r="B8" t="s">
        <v>121</v>
      </c>
      <c r="C8" s="3">
        <v>554079</v>
      </c>
      <c r="D8" s="3">
        <v>123095</v>
      </c>
      <c r="E8" s="4">
        <v>0.28561399999999998</v>
      </c>
      <c r="F8" s="5">
        <v>177.1</v>
      </c>
      <c r="G8" s="5">
        <v>-24.04</v>
      </c>
      <c r="H8" s="4">
        <v>-0.119519</v>
      </c>
      <c r="I8" s="6">
        <v>44691</v>
      </c>
      <c r="J8" t="s">
        <v>18</v>
      </c>
      <c r="K8" s="3">
        <f t="shared" si="0"/>
        <v>430984</v>
      </c>
      <c r="L8" s="5">
        <f t="shared" si="1"/>
        <v>201.14</v>
      </c>
      <c r="M8" s="5">
        <f t="shared" si="2"/>
        <v>0.31962951131517348</v>
      </c>
      <c r="N8" t="str">
        <f t="shared" si="3"/>
        <v>Accelerating</v>
      </c>
      <c r="O8" t="s">
        <v>150</v>
      </c>
    </row>
    <row r="9" spans="1:15">
      <c r="A9" t="s">
        <v>122</v>
      </c>
      <c r="B9" t="s">
        <v>123</v>
      </c>
      <c r="C9" s="3">
        <v>541008</v>
      </c>
      <c r="D9" s="3">
        <v>-59592</v>
      </c>
      <c r="E9" s="4">
        <v>-9.9221000000000004E-2</v>
      </c>
      <c r="F9" s="5">
        <v>694.08</v>
      </c>
      <c r="G9" s="5">
        <v>153.66999999999999</v>
      </c>
      <c r="H9" s="4">
        <v>0.284358</v>
      </c>
      <c r="I9" s="6">
        <v>45672</v>
      </c>
      <c r="J9" t="s">
        <v>28</v>
      </c>
      <c r="K9" s="3">
        <f t="shared" si="0"/>
        <v>600600</v>
      </c>
      <c r="L9" s="5">
        <f t="shared" si="1"/>
        <v>540.41000000000008</v>
      </c>
      <c r="M9" s="5">
        <f t="shared" si="2"/>
        <v>1.282938514772425</v>
      </c>
      <c r="N9" t="str">
        <f t="shared" si="3"/>
        <v>Stable</v>
      </c>
      <c r="O9" t="s">
        <v>150</v>
      </c>
    </row>
    <row r="10" spans="1:15">
      <c r="A10" t="s">
        <v>124</v>
      </c>
      <c r="B10" t="s">
        <v>125</v>
      </c>
      <c r="C10" s="3">
        <v>500239</v>
      </c>
      <c r="D10" s="3">
        <v>500239</v>
      </c>
      <c r="E10" s="4"/>
      <c r="F10" s="5">
        <v>0</v>
      </c>
      <c r="G10" s="5">
        <v>0</v>
      </c>
      <c r="H10" s="4"/>
      <c r="I10" s="6">
        <v>46211</v>
      </c>
      <c r="J10" t="s">
        <v>64</v>
      </c>
      <c r="K10" s="3">
        <f t="shared" si="0"/>
        <v>0</v>
      </c>
      <c r="L10" s="5">
        <f t="shared" si="1"/>
        <v>0</v>
      </c>
      <c r="M10" s="5">
        <f t="shared" si="2"/>
        <v>0</v>
      </c>
      <c r="N10" t="str">
        <f t="shared" si="3"/>
        <v>New / no prior</v>
      </c>
      <c r="O10" t="s">
        <v>150</v>
      </c>
    </row>
    <row r="11" spans="1:15">
      <c r="A11" t="s">
        <v>126</v>
      </c>
      <c r="B11" t="s">
        <v>127</v>
      </c>
      <c r="C11" s="3">
        <v>493628</v>
      </c>
      <c r="D11" s="3">
        <v>143485</v>
      </c>
      <c r="E11" s="4">
        <v>0.40978999999999999</v>
      </c>
      <c r="F11" s="5">
        <v>0</v>
      </c>
      <c r="G11" s="5">
        <v>0</v>
      </c>
      <c r="H11" s="4"/>
      <c r="I11" s="6">
        <v>45646</v>
      </c>
      <c r="J11" t="s">
        <v>28</v>
      </c>
      <c r="K11" s="3">
        <f t="shared" si="0"/>
        <v>350143</v>
      </c>
      <c r="L11" s="5">
        <f t="shared" si="1"/>
        <v>0</v>
      </c>
      <c r="M11" s="5">
        <f t="shared" si="2"/>
        <v>0</v>
      </c>
      <c r="N11" t="str">
        <f t="shared" si="3"/>
        <v>Accelerating</v>
      </c>
      <c r="O11" t="s">
        <v>150</v>
      </c>
    </row>
    <row r="12" spans="1:15">
      <c r="A12" t="s">
        <v>128</v>
      </c>
      <c r="B12" t="s">
        <v>127</v>
      </c>
      <c r="C12" s="3">
        <v>459472</v>
      </c>
      <c r="D12" s="3">
        <v>82604</v>
      </c>
      <c r="E12" s="4">
        <v>0.21918499999999999</v>
      </c>
      <c r="F12" s="5">
        <v>0</v>
      </c>
      <c r="G12" s="5">
        <v>0</v>
      </c>
      <c r="H12" s="4"/>
      <c r="I12" s="6">
        <v>45908</v>
      </c>
      <c r="J12" t="s">
        <v>23</v>
      </c>
      <c r="K12" s="3">
        <f t="shared" si="0"/>
        <v>376868</v>
      </c>
      <c r="L12" s="5">
        <f t="shared" si="1"/>
        <v>0</v>
      </c>
      <c r="M12" s="5">
        <f t="shared" si="2"/>
        <v>0</v>
      </c>
      <c r="N12" t="str">
        <f t="shared" si="3"/>
        <v>Accelerating</v>
      </c>
      <c r="O12" t="s">
        <v>150</v>
      </c>
    </row>
    <row r="13" spans="1:15">
      <c r="A13" t="s">
        <v>129</v>
      </c>
      <c r="B13" t="s">
        <v>130</v>
      </c>
      <c r="C13" s="3">
        <v>403181</v>
      </c>
      <c r="D13" s="3">
        <v>-96726</v>
      </c>
      <c r="E13" s="4">
        <v>-0.19348799999999999</v>
      </c>
      <c r="F13" s="5">
        <v>1429.25</v>
      </c>
      <c r="G13" s="5">
        <v>-235.87</v>
      </c>
      <c r="H13" s="4">
        <v>-0.141653</v>
      </c>
      <c r="I13" s="6">
        <v>45478</v>
      </c>
      <c r="J13" t="s">
        <v>28</v>
      </c>
      <c r="K13" s="3">
        <f t="shared" si="0"/>
        <v>499907</v>
      </c>
      <c r="L13" s="5">
        <f t="shared" si="1"/>
        <v>1665.12</v>
      </c>
      <c r="M13" s="5">
        <f t="shared" si="2"/>
        <v>3.5449339130564188</v>
      </c>
      <c r="N13" t="str">
        <f t="shared" si="3"/>
        <v>Declining</v>
      </c>
      <c r="O13" t="s">
        <v>150</v>
      </c>
    </row>
    <row r="14" spans="1:15">
      <c r="A14" t="s">
        <v>131</v>
      </c>
      <c r="B14" t="s">
        <v>132</v>
      </c>
      <c r="C14" s="3">
        <v>387363</v>
      </c>
      <c r="D14" s="3">
        <v>6749</v>
      </c>
      <c r="E14" s="4">
        <v>1.7732000000000001E-2</v>
      </c>
      <c r="F14" s="5">
        <v>0</v>
      </c>
      <c r="G14" s="5">
        <v>0</v>
      </c>
      <c r="H14" s="4"/>
      <c r="I14" s="6">
        <v>45450</v>
      </c>
      <c r="J14" t="s">
        <v>28</v>
      </c>
      <c r="K14" s="3">
        <f t="shared" si="0"/>
        <v>380614</v>
      </c>
      <c r="L14" s="5">
        <f t="shared" si="1"/>
        <v>0</v>
      </c>
      <c r="M14" s="5">
        <f t="shared" si="2"/>
        <v>0</v>
      </c>
      <c r="N14" t="str">
        <f t="shared" si="3"/>
        <v>Growing</v>
      </c>
      <c r="O14" t="s">
        <v>150</v>
      </c>
    </row>
    <row r="15" spans="1:15">
      <c r="A15" t="s">
        <v>133</v>
      </c>
      <c r="B15" t="s">
        <v>125</v>
      </c>
      <c r="C15" s="3">
        <v>382576</v>
      </c>
      <c r="D15" s="3">
        <v>382576</v>
      </c>
      <c r="E15" s="4"/>
      <c r="F15" s="5">
        <v>0</v>
      </c>
      <c r="G15" s="5">
        <v>0</v>
      </c>
      <c r="H15" s="4"/>
      <c r="I15" s="6">
        <v>46211</v>
      </c>
      <c r="J15" t="s">
        <v>64</v>
      </c>
      <c r="K15" s="3">
        <f t="shared" si="0"/>
        <v>0</v>
      </c>
      <c r="L15" s="5">
        <f t="shared" si="1"/>
        <v>0</v>
      </c>
      <c r="M15" s="5">
        <f t="shared" si="2"/>
        <v>0</v>
      </c>
      <c r="N15" t="str">
        <f t="shared" si="3"/>
        <v>New / no prior</v>
      </c>
      <c r="O15" t="s">
        <v>150</v>
      </c>
    </row>
    <row r="16" spans="1:15">
      <c r="A16" t="s">
        <v>134</v>
      </c>
      <c r="B16" t="s">
        <v>135</v>
      </c>
      <c r="C16" s="3">
        <v>341132</v>
      </c>
      <c r="D16" s="3">
        <v>-19277</v>
      </c>
      <c r="E16" s="4">
        <v>-5.3485999999999999E-2</v>
      </c>
      <c r="F16" s="5">
        <v>124717.57</v>
      </c>
      <c r="G16" s="5">
        <v>-25497.16</v>
      </c>
      <c r="H16" s="4">
        <v>-0.169738</v>
      </c>
      <c r="I16" s="6">
        <v>44562</v>
      </c>
      <c r="J16" t="s">
        <v>18</v>
      </c>
      <c r="K16" s="3">
        <f t="shared" si="0"/>
        <v>360409</v>
      </c>
      <c r="L16" s="5">
        <f t="shared" si="1"/>
        <v>150214.73000000001</v>
      </c>
      <c r="M16" s="5">
        <f t="shared" si="2"/>
        <v>365.59915223432569</v>
      </c>
      <c r="N16" t="str">
        <f t="shared" si="3"/>
        <v>Stable</v>
      </c>
      <c r="O16" t="s">
        <v>150</v>
      </c>
    </row>
    <row r="17" spans="1:15">
      <c r="A17" t="s">
        <v>136</v>
      </c>
      <c r="B17" t="s">
        <v>137</v>
      </c>
      <c r="C17" s="3">
        <v>339461</v>
      </c>
      <c r="D17" s="3">
        <v>-140532</v>
      </c>
      <c r="E17" s="4">
        <v>-0.29277900000000001</v>
      </c>
      <c r="F17" s="5">
        <v>327.44</v>
      </c>
      <c r="G17" s="5">
        <v>321.07</v>
      </c>
      <c r="H17" s="4">
        <v>50.403454000000004</v>
      </c>
      <c r="I17" s="6">
        <v>46141</v>
      </c>
      <c r="J17" t="s">
        <v>110</v>
      </c>
      <c r="K17" s="3">
        <f t="shared" si="0"/>
        <v>479993</v>
      </c>
      <c r="L17" s="5">
        <f t="shared" si="1"/>
        <v>6.3700000000000045</v>
      </c>
      <c r="M17" s="5">
        <f t="shared" si="2"/>
        <v>0.96458797917875694</v>
      </c>
      <c r="N17" t="str">
        <f t="shared" si="3"/>
        <v>Declining</v>
      </c>
      <c r="O17" t="s">
        <v>150</v>
      </c>
    </row>
    <row r="18" spans="1:15">
      <c r="A18" t="s">
        <v>138</v>
      </c>
      <c r="B18" t="s">
        <v>135</v>
      </c>
      <c r="C18" s="3">
        <v>330148</v>
      </c>
      <c r="D18" s="3">
        <v>-110425</v>
      </c>
      <c r="E18" s="4">
        <v>-0.25063999999999997</v>
      </c>
      <c r="F18" s="5">
        <v>19028.37</v>
      </c>
      <c r="G18" s="5">
        <v>-247.5</v>
      </c>
      <c r="H18" s="4">
        <v>-1.2840000000000001E-2</v>
      </c>
      <c r="I18" s="6">
        <v>45610</v>
      </c>
      <c r="J18" t="s">
        <v>28</v>
      </c>
      <c r="K18" s="3">
        <f t="shared" si="0"/>
        <v>440573</v>
      </c>
      <c r="L18" s="5">
        <f t="shared" si="1"/>
        <v>19275.87</v>
      </c>
      <c r="M18" s="5">
        <f t="shared" si="2"/>
        <v>57.635878454511307</v>
      </c>
      <c r="N18" t="str">
        <f t="shared" si="3"/>
        <v>Declining</v>
      </c>
      <c r="O18" t="s">
        <v>150</v>
      </c>
    </row>
    <row r="19" spans="1:15">
      <c r="A19" t="s">
        <v>139</v>
      </c>
      <c r="B19" t="s">
        <v>119</v>
      </c>
      <c r="C19" s="3">
        <v>329420</v>
      </c>
      <c r="D19" s="3">
        <v>267</v>
      </c>
      <c r="E19" s="4">
        <v>8.1099999999999998E-4</v>
      </c>
      <c r="F19" s="5">
        <v>0</v>
      </c>
      <c r="G19" s="5">
        <v>0</v>
      </c>
      <c r="H19" s="4"/>
      <c r="I19" s="6">
        <v>45846</v>
      </c>
      <c r="J19" t="s">
        <v>23</v>
      </c>
      <c r="K19" s="3">
        <f t="shared" si="0"/>
        <v>329153</v>
      </c>
      <c r="L19" s="5">
        <f t="shared" si="1"/>
        <v>0</v>
      </c>
      <c r="M19" s="5">
        <f t="shared" si="2"/>
        <v>0</v>
      </c>
      <c r="N19" t="str">
        <f t="shared" si="3"/>
        <v>Growing</v>
      </c>
      <c r="O19" t="s">
        <v>150</v>
      </c>
    </row>
    <row r="20" spans="1:15">
      <c r="A20" t="s">
        <v>140</v>
      </c>
      <c r="B20" t="s">
        <v>141</v>
      </c>
      <c r="C20" s="3">
        <v>328702</v>
      </c>
      <c r="D20" s="3">
        <v>-193697</v>
      </c>
      <c r="E20" s="4">
        <v>-0.370784</v>
      </c>
      <c r="F20" s="5">
        <v>0</v>
      </c>
      <c r="G20" s="5">
        <v>0</v>
      </c>
      <c r="H20" s="4"/>
      <c r="I20" s="6"/>
      <c r="K20" s="3">
        <f t="shared" si="0"/>
        <v>522399</v>
      </c>
      <c r="L20" s="5">
        <f t="shared" si="1"/>
        <v>0</v>
      </c>
      <c r="M20" s="5">
        <f t="shared" si="2"/>
        <v>0</v>
      </c>
      <c r="N20" t="str">
        <f t="shared" si="3"/>
        <v>Declining</v>
      </c>
      <c r="O20" t="s">
        <v>150</v>
      </c>
    </row>
    <row r="21" spans="1:15">
      <c r="A21" t="s">
        <v>142</v>
      </c>
      <c r="B21" t="s">
        <v>143</v>
      </c>
      <c r="C21" s="3">
        <v>314174</v>
      </c>
      <c r="D21" s="3">
        <v>47599</v>
      </c>
      <c r="E21" s="4">
        <v>0.17855799999999999</v>
      </c>
      <c r="F21" s="5">
        <v>13010.05</v>
      </c>
      <c r="G21" s="5">
        <v>3410.07</v>
      </c>
      <c r="H21" s="4">
        <v>0.35521599999999998</v>
      </c>
      <c r="I21" s="6">
        <v>45692</v>
      </c>
      <c r="J21" t="s">
        <v>28</v>
      </c>
      <c r="K21" s="3">
        <f t="shared" si="0"/>
        <v>266575</v>
      </c>
      <c r="L21" s="5">
        <f t="shared" si="1"/>
        <v>9599.98</v>
      </c>
      <c r="M21" s="5">
        <f t="shared" si="2"/>
        <v>41.410333127502589</v>
      </c>
      <c r="N21" t="str">
        <f t="shared" si="3"/>
        <v>Growing</v>
      </c>
      <c r="O21" t="s">
        <v>150</v>
      </c>
    </row>
    <row r="22" spans="1:15">
      <c r="A22" t="s">
        <v>144</v>
      </c>
      <c r="B22" t="s">
        <v>90</v>
      </c>
      <c r="C22" s="3">
        <v>236565</v>
      </c>
      <c r="D22" s="3">
        <v>236565</v>
      </c>
      <c r="E22" s="4"/>
      <c r="F22" s="5">
        <v>0</v>
      </c>
      <c r="G22" s="5">
        <v>0</v>
      </c>
      <c r="H22" s="4"/>
      <c r="I22" s="6">
        <v>46206</v>
      </c>
      <c r="J22" t="s">
        <v>64</v>
      </c>
      <c r="K22" s="3">
        <f t="shared" si="0"/>
        <v>0</v>
      </c>
      <c r="L22" s="5">
        <f t="shared" si="1"/>
        <v>0</v>
      </c>
      <c r="M22" s="5">
        <f t="shared" si="2"/>
        <v>0</v>
      </c>
      <c r="N22" t="str">
        <f t="shared" si="3"/>
        <v>New / no prior</v>
      </c>
      <c r="O22" t="s">
        <v>150</v>
      </c>
    </row>
    <row r="23" spans="1:15">
      <c r="A23" t="s">
        <v>145</v>
      </c>
      <c r="B23" t="s">
        <v>146</v>
      </c>
      <c r="C23" s="3">
        <v>234875</v>
      </c>
      <c r="D23" s="3">
        <v>28743</v>
      </c>
      <c r="E23" s="4">
        <v>0.13944000000000001</v>
      </c>
      <c r="F23" s="5">
        <v>654800.30000000005</v>
      </c>
      <c r="G23" s="5">
        <v>-83871.14</v>
      </c>
      <c r="H23" s="4">
        <v>-0.11354300000000001</v>
      </c>
      <c r="I23" s="6">
        <v>46065</v>
      </c>
      <c r="J23" t="s">
        <v>45</v>
      </c>
      <c r="K23" s="3">
        <f t="shared" si="0"/>
        <v>206132</v>
      </c>
      <c r="L23" s="5">
        <f t="shared" si="1"/>
        <v>738671.44000000006</v>
      </c>
      <c r="M23" s="5">
        <f t="shared" si="2"/>
        <v>2787.8671633847794</v>
      </c>
      <c r="N23" t="str">
        <f t="shared" si="3"/>
        <v>Growing</v>
      </c>
      <c r="O23" t="s">
        <v>150</v>
      </c>
    </row>
    <row r="24" spans="1:15">
      <c r="A24" t="s">
        <v>147</v>
      </c>
      <c r="B24" t="s">
        <v>44</v>
      </c>
      <c r="C24" s="3">
        <v>218490</v>
      </c>
      <c r="D24" s="3">
        <v>1039</v>
      </c>
      <c r="E24" s="4">
        <v>4.7780000000000001E-3</v>
      </c>
      <c r="F24" s="5">
        <v>134.22999999999999</v>
      </c>
      <c r="G24" s="5">
        <v>-3.7</v>
      </c>
      <c r="H24" s="4">
        <v>-2.6825000000000002E-2</v>
      </c>
      <c r="I24" s="6">
        <v>45736</v>
      </c>
      <c r="J24" t="s">
        <v>28</v>
      </c>
      <c r="K24" s="3">
        <f t="shared" si="0"/>
        <v>217451</v>
      </c>
      <c r="L24" s="5">
        <f t="shared" si="1"/>
        <v>137.92999999999998</v>
      </c>
      <c r="M24" s="5">
        <f t="shared" si="2"/>
        <v>0.61435305963659659</v>
      </c>
      <c r="N24" t="str">
        <f t="shared" si="3"/>
        <v>Growing</v>
      </c>
      <c r="O24" t="s">
        <v>150</v>
      </c>
    </row>
    <row r="25" spans="1:15">
      <c r="A25" t="s">
        <v>148</v>
      </c>
      <c r="B25" t="s">
        <v>149</v>
      </c>
      <c r="C25" s="3">
        <v>164028</v>
      </c>
      <c r="D25" s="3">
        <v>140226</v>
      </c>
      <c r="E25" s="4">
        <v>5.8913539999999998</v>
      </c>
      <c r="F25" s="5">
        <v>0</v>
      </c>
      <c r="G25" s="5">
        <v>0</v>
      </c>
      <c r="H25" s="4"/>
      <c r="I25" s="6">
        <v>46178</v>
      </c>
      <c r="J25" t="s">
        <v>110</v>
      </c>
      <c r="K25" s="3">
        <f t="shared" si="0"/>
        <v>23802</v>
      </c>
      <c r="L25" s="5">
        <f t="shared" si="1"/>
        <v>0</v>
      </c>
      <c r="M25" s="5">
        <f t="shared" si="2"/>
        <v>0</v>
      </c>
      <c r="N25" t="str">
        <f t="shared" si="3"/>
        <v>Accelerating</v>
      </c>
      <c r="O25" t="s">
        <v>150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0AE8-F02D-4288-8063-FD73978D2592}">
  <sheetPr>
    <tabColor rgb="FFA5A5A5"/>
  </sheetPr>
  <dimension ref="A1:D38"/>
  <sheetViews>
    <sheetView showGridLines="0" topLeftCell="A8" workbookViewId="0">
      <selection activeCell="B22" sqref="B22"/>
    </sheetView>
  </sheetViews>
  <sheetFormatPr defaultRowHeight="14.5"/>
  <cols>
    <col min="1" max="1" width="29.08984375" customWidth="1"/>
    <col min="2" max="2" width="76.36328125" customWidth="1"/>
    <col min="3" max="3" width="47.26953125" customWidth="1"/>
    <col min="4" max="4" width="58.1796875" customWidth="1"/>
  </cols>
  <sheetData>
    <row r="1" spans="1:4" ht="21">
      <c r="A1" s="7" t="s">
        <v>225</v>
      </c>
      <c r="B1" s="7"/>
      <c r="C1" s="7"/>
      <c r="D1" s="7"/>
    </row>
    <row r="3" spans="1:4">
      <c r="A3" s="13" t="s">
        <v>226</v>
      </c>
      <c r="B3" t="s">
        <v>227</v>
      </c>
    </row>
    <row r="4" spans="1:4">
      <c r="A4" s="13" t="s">
        <v>228</v>
      </c>
      <c r="B4" t="s">
        <v>229</v>
      </c>
    </row>
    <row r="5" spans="1:4">
      <c r="A5" s="13" t="s">
        <v>230</v>
      </c>
      <c r="B5" t="s">
        <v>231</v>
      </c>
    </row>
    <row r="6" spans="1:4">
      <c r="A6" s="13" t="s">
        <v>232</v>
      </c>
      <c r="B6" t="s">
        <v>111</v>
      </c>
    </row>
    <row r="7" spans="1:4">
      <c r="A7" s="13" t="s">
        <v>233</v>
      </c>
      <c r="B7" t="s">
        <v>150</v>
      </c>
    </row>
    <row r="8" spans="1:4">
      <c r="A8" s="13" t="s">
        <v>234</v>
      </c>
      <c r="B8" s="6">
        <v>46250</v>
      </c>
    </row>
    <row r="10" spans="1:4">
      <c r="A10" s="19" t="s">
        <v>235</v>
      </c>
      <c r="B10" s="19" t="s">
        <v>236</v>
      </c>
      <c r="C10" s="19" t="s">
        <v>237</v>
      </c>
    </row>
    <row r="11" spans="1:4">
      <c r="A11" t="s">
        <v>3</v>
      </c>
      <c r="B11" t="s">
        <v>238</v>
      </c>
      <c r="C11" t="s">
        <v>239</v>
      </c>
    </row>
    <row r="12" spans="1:4">
      <c r="A12" t="s">
        <v>4</v>
      </c>
      <c r="B12" t="s">
        <v>240</v>
      </c>
      <c r="C12" t="s">
        <v>241</v>
      </c>
    </row>
    <row r="13" spans="1:4">
      <c r="A13" t="s">
        <v>5</v>
      </c>
      <c r="B13" t="s">
        <v>242</v>
      </c>
      <c r="C13" t="s">
        <v>243</v>
      </c>
    </row>
    <row r="14" spans="1:4">
      <c r="A14" t="s">
        <v>6</v>
      </c>
      <c r="B14" t="s">
        <v>244</v>
      </c>
      <c r="C14" t="s">
        <v>245</v>
      </c>
    </row>
    <row r="15" spans="1:4">
      <c r="A15" t="s">
        <v>13</v>
      </c>
      <c r="B15" t="s">
        <v>246</v>
      </c>
      <c r="C15" t="s">
        <v>168</v>
      </c>
    </row>
    <row r="16" spans="1:4">
      <c r="A16" t="s">
        <v>247</v>
      </c>
      <c r="B16" t="s">
        <v>248</v>
      </c>
      <c r="C16" t="s">
        <v>249</v>
      </c>
    </row>
    <row r="17" spans="1:4">
      <c r="A17" t="s">
        <v>250</v>
      </c>
      <c r="B17" t="s">
        <v>251</v>
      </c>
      <c r="C17" t="s">
        <v>252</v>
      </c>
    </row>
    <row r="18" spans="1:4">
      <c r="A18" t="s">
        <v>253</v>
      </c>
      <c r="B18" t="s">
        <v>254</v>
      </c>
      <c r="C18" t="s">
        <v>255</v>
      </c>
    </row>
    <row r="19" spans="1:4">
      <c r="A19" t="s">
        <v>256</v>
      </c>
      <c r="B19" t="s">
        <v>257</v>
      </c>
      <c r="C19" t="s">
        <v>258</v>
      </c>
    </row>
    <row r="21" spans="1:4">
      <c r="A21" s="33" t="s">
        <v>259</v>
      </c>
      <c r="B21" s="33" t="s">
        <v>260</v>
      </c>
      <c r="C21" s="33" t="s">
        <v>261</v>
      </c>
      <c r="D21" s="33" t="s">
        <v>262</v>
      </c>
    </row>
    <row r="22" spans="1:4">
      <c r="A22" t="s">
        <v>210</v>
      </c>
      <c r="B22" s="2">
        <v>0.35</v>
      </c>
      <c r="C22" t="s">
        <v>263</v>
      </c>
      <c r="D22" t="s">
        <v>264</v>
      </c>
    </row>
    <row r="23" spans="1:4">
      <c r="A23" t="s">
        <v>211</v>
      </c>
      <c r="B23" s="2">
        <v>0.3</v>
      </c>
      <c r="C23" t="s">
        <v>265</v>
      </c>
      <c r="D23" t="s">
        <v>266</v>
      </c>
    </row>
    <row r="24" spans="1:4">
      <c r="A24" t="s">
        <v>212</v>
      </c>
      <c r="B24" s="2">
        <v>0.25</v>
      </c>
      <c r="C24" t="s">
        <v>267</v>
      </c>
      <c r="D24" t="s">
        <v>268</v>
      </c>
    </row>
    <row r="25" spans="1:4">
      <c r="A25" t="s">
        <v>213</v>
      </c>
      <c r="B25" s="2">
        <v>0.1</v>
      </c>
      <c r="C25" t="s">
        <v>269</v>
      </c>
      <c r="D25" t="s">
        <v>270</v>
      </c>
    </row>
    <row r="26" spans="1:4">
      <c r="A26" t="s">
        <v>271</v>
      </c>
      <c r="B26" s="2">
        <v>1</v>
      </c>
      <c r="C26" t="s">
        <v>272</v>
      </c>
      <c r="D26" t="s">
        <v>273</v>
      </c>
    </row>
    <row r="28" spans="1:4">
      <c r="A28" s="41" t="s">
        <v>274</v>
      </c>
      <c r="B28" s="41" t="s">
        <v>275</v>
      </c>
    </row>
    <row r="29" spans="1:4">
      <c r="A29" t="s">
        <v>276</v>
      </c>
      <c r="B29" t="s">
        <v>277</v>
      </c>
    </row>
    <row r="30" spans="1:4">
      <c r="A30" t="s">
        <v>278</v>
      </c>
      <c r="B30" t="s">
        <v>279</v>
      </c>
    </row>
    <row r="31" spans="1:4">
      <c r="A31" t="s">
        <v>280</v>
      </c>
      <c r="B31" t="s">
        <v>281</v>
      </c>
    </row>
    <row r="32" spans="1:4">
      <c r="A32" t="s">
        <v>282</v>
      </c>
      <c r="B32" t="s">
        <v>283</v>
      </c>
    </row>
    <row r="33" spans="1:2">
      <c r="A33" t="s">
        <v>284</v>
      </c>
      <c r="B33" t="s">
        <v>285</v>
      </c>
    </row>
    <row r="34" spans="1:2">
      <c r="A34" t="s">
        <v>286</v>
      </c>
      <c r="B34" t="s">
        <v>287</v>
      </c>
    </row>
    <row r="35" spans="1:2">
      <c r="A35" t="s">
        <v>288</v>
      </c>
      <c r="B35" t="s">
        <v>289</v>
      </c>
    </row>
    <row r="37" spans="1:2">
      <c r="A37" s="9" t="s">
        <v>290</v>
      </c>
      <c r="B37" s="9" t="s">
        <v>291</v>
      </c>
    </row>
    <row r="38" spans="1:2">
      <c r="A38" s="9" t="s">
        <v>292</v>
      </c>
      <c r="B38" s="9" t="s">
        <v>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3702-61D6-4135-8BB2-816F71CCCEF1}">
  <sheetPr>
    <tabColor rgb="FF00A6A6"/>
  </sheetPr>
  <dimension ref="A1:G37"/>
  <sheetViews>
    <sheetView showGridLines="0" topLeftCell="D1" workbookViewId="0">
      <pane ySplit="9" topLeftCell="A16" activePane="bottomLeft" state="frozen"/>
      <selection pane="bottomLeft" activeCell="B9" sqref="B9"/>
    </sheetView>
  </sheetViews>
  <sheetFormatPr defaultRowHeight="14.5"/>
  <cols>
    <col min="1" max="1" width="20.90625" customWidth="1"/>
    <col min="2" max="2" width="41.81640625" customWidth="1"/>
    <col min="3" max="3" width="40" customWidth="1"/>
    <col min="4" max="4" width="27.26953125" customWidth="1"/>
    <col min="5" max="5" width="41.81640625" customWidth="1"/>
    <col min="6" max="6" width="37.26953125" customWidth="1"/>
    <col min="7" max="7" width="24.54296875" customWidth="1"/>
  </cols>
  <sheetData>
    <row r="1" spans="1:7" ht="34" customHeight="1">
      <c r="A1" s="59" t="s">
        <v>315</v>
      </c>
      <c r="B1" s="59"/>
      <c r="C1" s="59"/>
      <c r="D1" s="59"/>
      <c r="E1" s="59"/>
      <c r="F1" s="59"/>
      <c r="G1" s="59"/>
    </row>
    <row r="2" spans="1:7" ht="26" customHeight="1">
      <c r="A2" s="60" t="s">
        <v>316</v>
      </c>
      <c r="B2" s="60"/>
      <c r="C2" s="60"/>
      <c r="D2" s="60"/>
      <c r="E2" s="60"/>
      <c r="F2" s="60"/>
      <c r="G2" s="60"/>
    </row>
    <row r="3" spans="1:7" ht="26" customHeight="1">
      <c r="A3" s="46"/>
      <c r="B3" s="46"/>
      <c r="C3" s="46"/>
      <c r="D3" s="46"/>
      <c r="E3" s="46"/>
      <c r="F3" s="46"/>
      <c r="G3" s="46"/>
    </row>
    <row r="4" spans="1:7" ht="30" customHeight="1">
      <c r="A4" s="61" t="s">
        <v>318</v>
      </c>
      <c r="B4" s="61"/>
      <c r="C4" s="61"/>
      <c r="D4" s="61"/>
      <c r="E4" s="61"/>
      <c r="F4" s="61"/>
      <c r="G4" s="61"/>
    </row>
    <row r="5" spans="1:7" ht="54" customHeight="1">
      <c r="A5" s="46" t="s">
        <v>319</v>
      </c>
      <c r="B5" s="46" t="s">
        <v>320</v>
      </c>
      <c r="C5" s="46" t="s">
        <v>321</v>
      </c>
      <c r="D5" s="46" t="s">
        <v>322</v>
      </c>
      <c r="E5" s="46" t="s">
        <v>323</v>
      </c>
      <c r="F5" s="46" t="s">
        <v>324</v>
      </c>
      <c r="G5" s="46" t="s">
        <v>317</v>
      </c>
    </row>
    <row r="6" spans="1:7" ht="54" customHeight="1">
      <c r="A6" s="47" t="s">
        <v>325</v>
      </c>
      <c r="B6" s="46" t="s">
        <v>326</v>
      </c>
      <c r="C6" s="46" t="s">
        <v>327</v>
      </c>
      <c r="D6" s="48" t="s">
        <v>328</v>
      </c>
      <c r="E6" s="49" t="s">
        <v>329</v>
      </c>
      <c r="F6" s="46" t="s">
        <v>330</v>
      </c>
      <c r="G6" s="46" t="s">
        <v>331</v>
      </c>
    </row>
    <row r="7" spans="1:7" ht="26">
      <c r="A7" s="47" t="s">
        <v>332</v>
      </c>
      <c r="B7" s="46" t="s">
        <v>333</v>
      </c>
      <c r="C7" s="46" t="s">
        <v>334</v>
      </c>
      <c r="D7" s="48" t="s">
        <v>328</v>
      </c>
      <c r="E7" s="49" t="s">
        <v>335</v>
      </c>
      <c r="F7" s="46" t="s">
        <v>336</v>
      </c>
      <c r="G7" s="46" t="s">
        <v>337</v>
      </c>
    </row>
    <row r="8" spans="1:7" ht="26" customHeight="1">
      <c r="A8" s="47" t="s">
        <v>338</v>
      </c>
      <c r="B8" s="46" t="s">
        <v>339</v>
      </c>
      <c r="C8" s="46" t="s">
        <v>340</v>
      </c>
      <c r="D8" s="48" t="s">
        <v>328</v>
      </c>
      <c r="E8" s="49" t="s">
        <v>341</v>
      </c>
      <c r="F8" s="46" t="s">
        <v>342</v>
      </c>
      <c r="G8" s="46" t="s">
        <v>343</v>
      </c>
    </row>
    <row r="9" spans="1:7" ht="36" customHeight="1">
      <c r="A9" s="47" t="s">
        <v>344</v>
      </c>
      <c r="B9" s="46" t="s">
        <v>345</v>
      </c>
      <c r="C9" s="46" t="s">
        <v>346</v>
      </c>
      <c r="D9" s="48" t="s">
        <v>328</v>
      </c>
      <c r="E9" s="49" t="s">
        <v>347</v>
      </c>
      <c r="F9" s="46" t="s">
        <v>348</v>
      </c>
      <c r="G9" s="46" t="s">
        <v>349</v>
      </c>
    </row>
    <row r="10" spans="1:7" ht="62" customHeight="1">
      <c r="A10" s="47" t="s">
        <v>350</v>
      </c>
      <c r="B10" s="46" t="s">
        <v>351</v>
      </c>
      <c r="C10" s="46" t="s">
        <v>352</v>
      </c>
      <c r="D10" s="48" t="s">
        <v>328</v>
      </c>
      <c r="E10" s="49" t="s">
        <v>353</v>
      </c>
      <c r="F10" s="46" t="s">
        <v>354</v>
      </c>
      <c r="G10" s="46" t="s">
        <v>355</v>
      </c>
    </row>
    <row r="11" spans="1:7" ht="62" customHeight="1">
      <c r="A11" s="47" t="s">
        <v>356</v>
      </c>
      <c r="B11" s="46" t="s">
        <v>357</v>
      </c>
      <c r="C11" s="46" t="s">
        <v>358</v>
      </c>
      <c r="D11" s="48" t="s">
        <v>328</v>
      </c>
      <c r="E11" s="49" t="s">
        <v>359</v>
      </c>
      <c r="F11" s="46" t="s">
        <v>360</v>
      </c>
      <c r="G11" s="46" t="s">
        <v>361</v>
      </c>
    </row>
    <row r="12" spans="1:7" ht="62" customHeight="1">
      <c r="A12" s="47" t="s">
        <v>362</v>
      </c>
      <c r="B12" s="46" t="s">
        <v>363</v>
      </c>
      <c r="C12" s="46" t="s">
        <v>364</v>
      </c>
      <c r="D12" s="48" t="s">
        <v>328</v>
      </c>
      <c r="E12" s="49" t="s">
        <v>365</v>
      </c>
      <c r="F12" s="46" t="s">
        <v>366</v>
      </c>
      <c r="G12" s="46" t="s">
        <v>367</v>
      </c>
    </row>
    <row r="13" spans="1:7" ht="62" customHeight="1">
      <c r="A13" s="47" t="s">
        <v>368</v>
      </c>
      <c r="B13" s="46" t="s">
        <v>369</v>
      </c>
      <c r="C13" s="46" t="s">
        <v>370</v>
      </c>
      <c r="D13" s="48" t="s">
        <v>328</v>
      </c>
      <c r="E13" s="46" t="s">
        <v>371</v>
      </c>
      <c r="F13" s="46" t="s">
        <v>372</v>
      </c>
      <c r="G13" s="46" t="s">
        <v>361</v>
      </c>
    </row>
    <row r="14" spans="1:7" ht="62" customHeight="1">
      <c r="A14" s="47" t="s">
        <v>373</v>
      </c>
      <c r="B14" s="46" t="s">
        <v>374</v>
      </c>
      <c r="C14" s="46" t="s">
        <v>375</v>
      </c>
      <c r="D14" s="48" t="s">
        <v>328</v>
      </c>
      <c r="E14" s="46" t="s">
        <v>376</v>
      </c>
      <c r="F14" s="46" t="s">
        <v>377</v>
      </c>
      <c r="G14" s="46" t="s">
        <v>378</v>
      </c>
    </row>
    <row r="15" spans="1:7" ht="62" customHeight="1">
      <c r="A15" s="47" t="s">
        <v>379</v>
      </c>
      <c r="B15" s="46" t="s">
        <v>380</v>
      </c>
      <c r="C15" s="46" t="s">
        <v>381</v>
      </c>
      <c r="D15" s="48" t="s">
        <v>328</v>
      </c>
      <c r="E15" s="46" t="s">
        <v>382</v>
      </c>
      <c r="F15" s="46" t="s">
        <v>383</v>
      </c>
      <c r="G15" s="46" t="s">
        <v>384</v>
      </c>
    </row>
    <row r="16" spans="1:7" ht="62" customHeight="1">
      <c r="A16" s="50" t="s">
        <v>385</v>
      </c>
      <c r="B16" s="51" t="s">
        <v>446</v>
      </c>
      <c r="C16" s="51" t="s">
        <v>447</v>
      </c>
      <c r="D16" s="52" t="s">
        <v>328</v>
      </c>
      <c r="E16" s="50" t="s">
        <v>448</v>
      </c>
      <c r="F16" s="51" t="s">
        <v>449</v>
      </c>
      <c r="G16" s="51" t="s">
        <v>450</v>
      </c>
    </row>
    <row r="17" spans="1:7" ht="62" customHeight="1">
      <c r="A17" s="47" t="s">
        <v>386</v>
      </c>
      <c r="B17" s="46" t="s">
        <v>387</v>
      </c>
      <c r="C17" s="46" t="s">
        <v>388</v>
      </c>
      <c r="D17" s="48" t="s">
        <v>328</v>
      </c>
      <c r="E17" s="49" t="s">
        <v>389</v>
      </c>
      <c r="F17" s="46" t="s">
        <v>390</v>
      </c>
      <c r="G17" s="46" t="s">
        <v>391</v>
      </c>
    </row>
    <row r="18" spans="1:7" ht="62" customHeight="1">
      <c r="A18" s="47" t="s">
        <v>392</v>
      </c>
      <c r="B18" s="46" t="s">
        <v>393</v>
      </c>
      <c r="C18" s="46" t="s">
        <v>394</v>
      </c>
      <c r="D18" s="48" t="s">
        <v>328</v>
      </c>
      <c r="E18" s="46" t="s">
        <v>395</v>
      </c>
      <c r="F18" s="46" t="s">
        <v>396</v>
      </c>
      <c r="G18" s="46" t="s">
        <v>361</v>
      </c>
    </row>
    <row r="19" spans="1:7" ht="62" customHeight="1">
      <c r="A19" s="46"/>
      <c r="B19" s="46"/>
      <c r="C19" s="46"/>
      <c r="D19" s="46"/>
      <c r="E19" s="46"/>
      <c r="F19" s="46"/>
      <c r="G19" s="46"/>
    </row>
    <row r="20" spans="1:7" ht="62" customHeight="1">
      <c r="A20" s="61" t="s">
        <v>397</v>
      </c>
      <c r="B20" s="61"/>
      <c r="C20" s="61"/>
      <c r="D20" s="61"/>
      <c r="E20" s="61"/>
      <c r="F20" s="61"/>
      <c r="G20" s="61"/>
    </row>
    <row r="21" spans="1:7" ht="62" customHeight="1">
      <c r="A21" s="46" t="s">
        <v>398</v>
      </c>
      <c r="B21" s="46" t="s">
        <v>399</v>
      </c>
      <c r="C21" s="46" t="s">
        <v>400</v>
      </c>
      <c r="D21" s="46" t="s">
        <v>401</v>
      </c>
      <c r="E21" s="46" t="s">
        <v>402</v>
      </c>
      <c r="F21" s="46" t="s">
        <v>403</v>
      </c>
      <c r="G21" s="46" t="s">
        <v>0</v>
      </c>
    </row>
    <row r="22" spans="1:7" ht="62" customHeight="1">
      <c r="A22" s="53" t="s">
        <v>404</v>
      </c>
      <c r="B22" s="46" t="s">
        <v>405</v>
      </c>
      <c r="C22" s="46" t="s">
        <v>406</v>
      </c>
      <c r="D22" s="46" t="s">
        <v>407</v>
      </c>
      <c r="E22" s="46" t="s">
        <v>408</v>
      </c>
      <c r="F22" s="55" t="s">
        <v>409</v>
      </c>
      <c r="G22" s="58" t="s">
        <v>451</v>
      </c>
    </row>
    <row r="23" spans="1:7" ht="25">
      <c r="A23" s="53" t="s">
        <v>404</v>
      </c>
      <c r="B23" s="46" t="s">
        <v>411</v>
      </c>
      <c r="C23" s="46" t="s">
        <v>412</v>
      </c>
      <c r="D23" s="46" t="s">
        <v>413</v>
      </c>
      <c r="E23" s="46" t="s">
        <v>414</v>
      </c>
      <c r="F23" s="55" t="s">
        <v>415</v>
      </c>
      <c r="G23" s="58" t="s">
        <v>451</v>
      </c>
    </row>
    <row r="24" spans="1:7" ht="26" customHeight="1">
      <c r="A24" s="53" t="s">
        <v>404</v>
      </c>
      <c r="B24" s="46" t="s">
        <v>416</v>
      </c>
      <c r="C24" s="46" t="s">
        <v>417</v>
      </c>
      <c r="D24" s="46" t="s">
        <v>418</v>
      </c>
      <c r="E24" s="46" t="s">
        <v>419</v>
      </c>
      <c r="F24" s="55" t="s">
        <v>420</v>
      </c>
      <c r="G24" s="58" t="s">
        <v>451</v>
      </c>
    </row>
    <row r="25" spans="1:7" ht="34" customHeight="1">
      <c r="A25" s="54" t="s">
        <v>421</v>
      </c>
      <c r="B25" s="46" t="s">
        <v>422</v>
      </c>
      <c r="C25" s="46" t="s">
        <v>423</v>
      </c>
      <c r="D25" s="46" t="s">
        <v>424</v>
      </c>
      <c r="E25" s="46" t="s">
        <v>425</v>
      </c>
      <c r="F25" s="55" t="s">
        <v>426</v>
      </c>
      <c r="G25" s="58" t="s">
        <v>451</v>
      </c>
    </row>
    <row r="26" spans="1:7" ht="52" customHeight="1">
      <c r="A26" s="54" t="s">
        <v>421</v>
      </c>
      <c r="B26" s="46" t="s">
        <v>427</v>
      </c>
      <c r="C26" s="46" t="s">
        <v>428</v>
      </c>
      <c r="D26" s="46" t="s">
        <v>429</v>
      </c>
      <c r="E26" s="46" t="s">
        <v>430</v>
      </c>
      <c r="F26" s="55" t="s">
        <v>431</v>
      </c>
      <c r="G26" s="52" t="s">
        <v>410</v>
      </c>
    </row>
    <row r="27" spans="1:7" ht="52" customHeight="1">
      <c r="A27" s="54" t="s">
        <v>421</v>
      </c>
      <c r="B27" s="46" t="s">
        <v>432</v>
      </c>
      <c r="C27" s="46" t="s">
        <v>433</v>
      </c>
      <c r="D27" s="46" t="s">
        <v>434</v>
      </c>
      <c r="E27" s="46" t="s">
        <v>435</v>
      </c>
      <c r="F27" s="55" t="s">
        <v>436</v>
      </c>
      <c r="G27" s="52" t="s">
        <v>410</v>
      </c>
    </row>
    <row r="28" spans="1:7" ht="52" customHeight="1">
      <c r="A28" s="54" t="s">
        <v>421</v>
      </c>
      <c r="B28" s="46" t="s">
        <v>437</v>
      </c>
      <c r="C28" s="46" t="s">
        <v>438</v>
      </c>
      <c r="D28" s="46" t="s">
        <v>439</v>
      </c>
      <c r="E28" s="46" t="s">
        <v>440</v>
      </c>
      <c r="F28" s="55" t="s">
        <v>441</v>
      </c>
      <c r="G28" s="52" t="s">
        <v>410</v>
      </c>
    </row>
    <row r="29" spans="1:7" ht="52" customHeight="1">
      <c r="A29" s="46"/>
      <c r="B29" s="46"/>
      <c r="C29" s="46"/>
      <c r="D29" s="46"/>
      <c r="E29" s="46"/>
      <c r="F29" s="46"/>
      <c r="G29" s="46"/>
    </row>
    <row r="30" spans="1:7" ht="52" customHeight="1">
      <c r="A30" s="61" t="s">
        <v>442</v>
      </c>
      <c r="B30" s="61"/>
      <c r="C30" s="61"/>
      <c r="D30" s="61"/>
      <c r="E30" s="61"/>
      <c r="F30" s="61"/>
      <c r="G30" s="61"/>
    </row>
    <row r="31" spans="1:7" ht="52" customHeight="1">
      <c r="A31" s="56">
        <v>1</v>
      </c>
      <c r="B31" s="57" t="s">
        <v>443</v>
      </c>
      <c r="C31" s="46"/>
      <c r="D31" s="46"/>
      <c r="E31" s="46"/>
      <c r="F31" s="46"/>
      <c r="G31" s="46"/>
    </row>
    <row r="32" spans="1:7" ht="52" customHeight="1">
      <c r="A32" s="56">
        <v>2</v>
      </c>
      <c r="B32" s="57" t="s">
        <v>444</v>
      </c>
      <c r="C32" s="46"/>
      <c r="D32" s="46"/>
      <c r="E32" s="46"/>
      <c r="F32" s="46"/>
      <c r="G32" s="46"/>
    </row>
    <row r="33" spans="1:7" ht="25">
      <c r="A33" s="56">
        <v>3</v>
      </c>
      <c r="B33" s="57" t="s">
        <v>445</v>
      </c>
      <c r="C33" s="46"/>
      <c r="D33" s="46"/>
      <c r="E33" s="46"/>
      <c r="F33" s="46"/>
      <c r="G33" s="46"/>
    </row>
    <row r="34" spans="1:7" ht="26" customHeight="1"/>
    <row r="35" spans="1:7" ht="32" customHeight="1"/>
    <row r="36" spans="1:7" ht="32" customHeight="1"/>
    <row r="37" spans="1:7" ht="32" customHeight="1"/>
  </sheetData>
  <mergeCells count="5">
    <mergeCell ref="A1:G1"/>
    <mergeCell ref="A2:G2"/>
    <mergeCell ref="A4:G4"/>
    <mergeCell ref="A20:G20"/>
    <mergeCell ref="A30:G30"/>
  </mergeCells>
  <dataValidations count="1">
    <dataValidation type="list" allowBlank="1" showInputMessage="1" showErrorMessage="1" promptTitle="Trạng thái evidence" prompt="Chọn Thiếu, Đang làm hoặc Đủ." sqref="G22:G28" xr:uid="{8FD5923D-9C52-429A-BD8B-6BBBD9166B82}">
      <formula1>"Thiếu,Đang làm,Đủ"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So sánh</vt:lpstr>
      <vt:lpstr>Shortlist</vt:lpstr>
      <vt:lpstr>Block Data</vt:lpstr>
      <vt:lpstr>Mahjong Data</vt:lpstr>
      <vt:lpstr>Phương pháp</vt:lpstr>
      <vt:lpstr>Tổng hợp Interpret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Tin. Trang Đặng Đức</dc:creator>
  <cp:lastModifiedBy>Tin. Trang Đặng Đức</cp:lastModifiedBy>
  <dcterms:created xsi:type="dcterms:W3CDTF">2026-08-16T08:18:32Z</dcterms:created>
  <dcterms:modified xsi:type="dcterms:W3CDTF">2026-08-18T06:56:08Z</dcterms:modified>
</cp:coreProperties>
</file>