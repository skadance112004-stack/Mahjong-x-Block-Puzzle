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1" documentId="11_FC5CC3068B61AB56FC53D159BD7257C3F05AF559" xr6:coauthVersionLast="47" xr6:coauthVersionMax="47" xr10:uidLastSave="{F3F19712-171B-49CA-B86E-83CAE654E7F1}"/>
  <bookViews>
    <workbookView xWindow="-110" yWindow="-110" windowWidth="19420" windowHeight="11500" xr2:uid="{00000000-000D-0000-FFFF-FFFF00000000}"/>
  </bookViews>
  <sheets>
    <sheet name="Source &amp; Sink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9" i="1" l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L57" i="1" s="1"/>
  <c r="G56" i="1"/>
  <c r="G55" i="1"/>
  <c r="G54" i="1"/>
  <c r="G53" i="1"/>
  <c r="J53" i="1" s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J38" i="1" s="1"/>
  <c r="G37" i="1"/>
  <c r="G36" i="1"/>
  <c r="G35" i="1"/>
  <c r="G34" i="1"/>
  <c r="G33" i="1"/>
  <c r="J33" i="1" s="1"/>
  <c r="G32" i="1"/>
  <c r="G31" i="1"/>
  <c r="G30" i="1"/>
  <c r="I79" i="1"/>
  <c r="F79" i="1"/>
  <c r="D79" i="1"/>
  <c r="H79" i="1" s="1"/>
  <c r="I78" i="1"/>
  <c r="F78" i="1"/>
  <c r="L78" i="1" s="1"/>
  <c r="D78" i="1"/>
  <c r="H78" i="1" s="1"/>
  <c r="I77" i="1"/>
  <c r="H77" i="1"/>
  <c r="F77" i="1"/>
  <c r="D77" i="1"/>
  <c r="I76" i="1"/>
  <c r="F76" i="1"/>
  <c r="D76" i="1"/>
  <c r="H76" i="1" s="1"/>
  <c r="I75" i="1"/>
  <c r="F75" i="1"/>
  <c r="L75" i="1" s="1"/>
  <c r="D75" i="1"/>
  <c r="H75" i="1" s="1"/>
  <c r="I74" i="1"/>
  <c r="F74" i="1"/>
  <c r="L74" i="1" s="1"/>
  <c r="D74" i="1"/>
  <c r="H74" i="1" s="1"/>
  <c r="I73" i="1"/>
  <c r="L73" i="1"/>
  <c r="F73" i="1"/>
  <c r="D73" i="1"/>
  <c r="H73" i="1" s="1"/>
  <c r="I72" i="1"/>
  <c r="F72" i="1"/>
  <c r="D72" i="1"/>
  <c r="H72" i="1" s="1"/>
  <c r="I71" i="1"/>
  <c r="F71" i="1"/>
  <c r="L71" i="1" s="1"/>
  <c r="D71" i="1"/>
  <c r="H71" i="1" s="1"/>
  <c r="I70" i="1"/>
  <c r="F70" i="1"/>
  <c r="D70" i="1"/>
  <c r="H70" i="1" s="1"/>
  <c r="I69" i="1"/>
  <c r="F69" i="1"/>
  <c r="D69" i="1"/>
  <c r="H69" i="1" s="1"/>
  <c r="I68" i="1"/>
  <c r="F68" i="1"/>
  <c r="L68" i="1" s="1"/>
  <c r="D68" i="1"/>
  <c r="H68" i="1" s="1"/>
  <c r="I67" i="1"/>
  <c r="F67" i="1"/>
  <c r="D67" i="1"/>
  <c r="H67" i="1" s="1"/>
  <c r="I66" i="1"/>
  <c r="F66" i="1"/>
  <c r="L66" i="1" s="1"/>
  <c r="D66" i="1"/>
  <c r="H66" i="1" s="1"/>
  <c r="I65" i="1"/>
  <c r="F65" i="1"/>
  <c r="D65" i="1"/>
  <c r="H65" i="1" s="1"/>
  <c r="I64" i="1"/>
  <c r="F64" i="1"/>
  <c r="D64" i="1"/>
  <c r="H64" i="1" s="1"/>
  <c r="I63" i="1"/>
  <c r="H63" i="1"/>
  <c r="J63" i="1"/>
  <c r="F63" i="1"/>
  <c r="D63" i="1"/>
  <c r="I62" i="1"/>
  <c r="F62" i="1"/>
  <c r="L62" i="1" s="1"/>
  <c r="D62" i="1"/>
  <c r="H62" i="1" s="1"/>
  <c r="I61" i="1"/>
  <c r="F61" i="1"/>
  <c r="L61" i="1" s="1"/>
  <c r="D61" i="1"/>
  <c r="H61" i="1" s="1"/>
  <c r="I60" i="1"/>
  <c r="F60" i="1"/>
  <c r="D60" i="1"/>
  <c r="H60" i="1" s="1"/>
  <c r="I59" i="1"/>
  <c r="F59" i="1"/>
  <c r="L59" i="1" s="1"/>
  <c r="D59" i="1"/>
  <c r="H59" i="1" s="1"/>
  <c r="I58" i="1"/>
  <c r="F58" i="1"/>
  <c r="D58" i="1"/>
  <c r="H58" i="1" s="1"/>
  <c r="I57" i="1"/>
  <c r="F57" i="1"/>
  <c r="D57" i="1"/>
  <c r="H57" i="1" s="1"/>
  <c r="I56" i="1"/>
  <c r="F56" i="1"/>
  <c r="D56" i="1"/>
  <c r="H56" i="1" s="1"/>
  <c r="J56" i="1" s="1"/>
  <c r="I55" i="1"/>
  <c r="F55" i="1"/>
  <c r="D55" i="1"/>
  <c r="H55" i="1" s="1"/>
  <c r="I54" i="1"/>
  <c r="H54" i="1"/>
  <c r="F54" i="1"/>
  <c r="L54" i="1" s="1"/>
  <c r="D54" i="1"/>
  <c r="I53" i="1"/>
  <c r="F53" i="1"/>
  <c r="D53" i="1"/>
  <c r="H53" i="1" s="1"/>
  <c r="I52" i="1"/>
  <c r="L52" i="1"/>
  <c r="F52" i="1"/>
  <c r="D52" i="1"/>
  <c r="H52" i="1" s="1"/>
  <c r="I51" i="1"/>
  <c r="F51" i="1"/>
  <c r="D51" i="1"/>
  <c r="H51" i="1" s="1"/>
  <c r="I50" i="1"/>
  <c r="F50" i="1"/>
  <c r="D50" i="1"/>
  <c r="H50" i="1" s="1"/>
  <c r="J50" i="1" s="1"/>
  <c r="I49" i="1"/>
  <c r="F49" i="1"/>
  <c r="D49" i="1"/>
  <c r="H49" i="1" s="1"/>
  <c r="I48" i="1"/>
  <c r="F48" i="1"/>
  <c r="D48" i="1"/>
  <c r="H48" i="1" s="1"/>
  <c r="I47" i="1"/>
  <c r="H47" i="1"/>
  <c r="L47" i="1"/>
  <c r="F47" i="1"/>
  <c r="D47" i="1"/>
  <c r="I46" i="1"/>
  <c r="F46" i="1"/>
  <c r="D46" i="1"/>
  <c r="H46" i="1" s="1"/>
  <c r="I45" i="1"/>
  <c r="F45" i="1"/>
  <c r="L45" i="1" s="1"/>
  <c r="D45" i="1"/>
  <c r="H45" i="1" s="1"/>
  <c r="J45" i="1" s="1"/>
  <c r="K45" i="1" s="1"/>
  <c r="I44" i="1"/>
  <c r="F44" i="1"/>
  <c r="D44" i="1"/>
  <c r="H44" i="1" s="1"/>
  <c r="I43" i="1"/>
  <c r="F43" i="1"/>
  <c r="D43" i="1"/>
  <c r="H43" i="1" s="1"/>
  <c r="I42" i="1"/>
  <c r="F42" i="1"/>
  <c r="L42" i="1" s="1"/>
  <c r="D42" i="1"/>
  <c r="H42" i="1" s="1"/>
  <c r="I41" i="1"/>
  <c r="J41" i="1"/>
  <c r="F41" i="1"/>
  <c r="D41" i="1"/>
  <c r="H41" i="1" s="1"/>
  <c r="I40" i="1"/>
  <c r="F40" i="1"/>
  <c r="L40" i="1" s="1"/>
  <c r="D40" i="1"/>
  <c r="H40" i="1" s="1"/>
  <c r="I39" i="1"/>
  <c r="F39" i="1"/>
  <c r="L39" i="1" s="1"/>
  <c r="D39" i="1"/>
  <c r="H39" i="1" s="1"/>
  <c r="I38" i="1"/>
  <c r="F38" i="1"/>
  <c r="D38" i="1"/>
  <c r="H38" i="1" s="1"/>
  <c r="I37" i="1"/>
  <c r="F37" i="1"/>
  <c r="L37" i="1" s="1"/>
  <c r="D37" i="1"/>
  <c r="H37" i="1" s="1"/>
  <c r="J37" i="1" s="1"/>
  <c r="K37" i="1" s="1"/>
  <c r="P36" i="1"/>
  <c r="I36" i="1"/>
  <c r="F36" i="1"/>
  <c r="D36" i="1"/>
  <c r="H36" i="1" s="1"/>
  <c r="P35" i="1"/>
  <c r="P42" i="1" s="1"/>
  <c r="I35" i="1"/>
  <c r="F35" i="1"/>
  <c r="D35" i="1"/>
  <c r="H35" i="1" s="1"/>
  <c r="P34" i="1"/>
  <c r="I34" i="1"/>
  <c r="F34" i="1"/>
  <c r="L34" i="1" s="1"/>
  <c r="D34" i="1"/>
  <c r="H34" i="1" s="1"/>
  <c r="I33" i="1"/>
  <c r="F33" i="1"/>
  <c r="L33" i="1" s="1"/>
  <c r="D33" i="1"/>
  <c r="H33" i="1" s="1"/>
  <c r="I32" i="1"/>
  <c r="F32" i="1"/>
  <c r="L32" i="1" s="1"/>
  <c r="D32" i="1"/>
  <c r="H32" i="1" s="1"/>
  <c r="I31" i="1"/>
  <c r="F31" i="1"/>
  <c r="L31" i="1" s="1"/>
  <c r="D31" i="1"/>
  <c r="H31" i="1" s="1"/>
  <c r="I30" i="1"/>
  <c r="F30" i="1"/>
  <c r="D30" i="1"/>
  <c r="H30" i="1" s="1"/>
  <c r="J70" i="1" l="1"/>
  <c r="K50" i="1"/>
  <c r="J30" i="1"/>
  <c r="J44" i="1"/>
  <c r="J35" i="1"/>
  <c r="K35" i="1" s="1"/>
  <c r="J49" i="1"/>
  <c r="J77" i="1"/>
  <c r="L64" i="1"/>
  <c r="L38" i="1"/>
  <c r="L53" i="1"/>
  <c r="L43" i="1"/>
  <c r="K77" i="1"/>
  <c r="L49" i="1"/>
  <c r="L46" i="1"/>
  <c r="J54" i="1"/>
  <c r="K54" i="1" s="1"/>
  <c r="L36" i="1"/>
  <c r="J42" i="1"/>
  <c r="K42" i="1" s="1"/>
  <c r="J52" i="1"/>
  <c r="K52" i="1" s="1"/>
  <c r="L65" i="1"/>
  <c r="L56" i="1"/>
  <c r="J73" i="1"/>
  <c r="K73" i="1" s="1"/>
  <c r="J32" i="1"/>
  <c r="K32" i="1" s="1"/>
  <c r="L41" i="1"/>
  <c r="K44" i="1"/>
  <c r="J47" i="1"/>
  <c r="K47" i="1" s="1"/>
  <c r="J68" i="1"/>
  <c r="K68" i="1" s="1"/>
  <c r="L50" i="1"/>
  <c r="J66" i="1"/>
  <c r="K66" i="1" s="1"/>
  <c r="L30" i="1"/>
  <c r="L51" i="1"/>
  <c r="L60" i="1"/>
  <c r="L63" i="1"/>
  <c r="L67" i="1"/>
  <c r="L70" i="1"/>
  <c r="J34" i="1"/>
  <c r="K34" i="1" s="1"/>
  <c r="L79" i="1"/>
  <c r="J75" i="1"/>
  <c r="K75" i="1" s="1"/>
  <c r="J61" i="1"/>
  <c r="K61" i="1" s="1"/>
  <c r="L35" i="1"/>
  <c r="J59" i="1"/>
  <c r="K59" i="1" s="1"/>
  <c r="K30" i="1"/>
  <c r="J62" i="1"/>
  <c r="K62" i="1" s="1"/>
  <c r="J65" i="1"/>
  <c r="K65" i="1" s="1"/>
  <c r="J71" i="1"/>
  <c r="K71" i="1" s="1"/>
  <c r="J74" i="1"/>
  <c r="J48" i="1"/>
  <c r="K48" i="1" s="1"/>
  <c r="J57" i="1"/>
  <c r="K57" i="1" s="1"/>
  <c r="K69" i="1"/>
  <c r="J40" i="1"/>
  <c r="K40" i="1" s="1"/>
  <c r="J55" i="1"/>
  <c r="K55" i="1" s="1"/>
  <c r="J64" i="1"/>
  <c r="K64" i="1" s="1"/>
  <c r="J51" i="1"/>
  <c r="J60" i="1"/>
  <c r="K60" i="1" s="1"/>
  <c r="J72" i="1"/>
  <c r="K72" i="1" s="1"/>
  <c r="J79" i="1"/>
  <c r="K79" i="1" s="1"/>
  <c r="J36" i="1"/>
  <c r="K36" i="1" s="1"/>
  <c r="J69" i="1"/>
  <c r="J78" i="1"/>
  <c r="K78" i="1" s="1"/>
  <c r="J31" i="1"/>
  <c r="K31" i="1" s="1"/>
  <c r="J46" i="1"/>
  <c r="K46" i="1" s="1"/>
  <c r="J43" i="1"/>
  <c r="K43" i="1" s="1"/>
  <c r="J58" i="1"/>
  <c r="K58" i="1" s="1"/>
  <c r="J67" i="1"/>
  <c r="K67" i="1" s="1"/>
  <c r="J76" i="1"/>
  <c r="K76" i="1" s="1"/>
  <c r="J39" i="1"/>
  <c r="K39" i="1" s="1"/>
  <c r="K56" i="1"/>
  <c r="K70" i="1"/>
  <c r="L44" i="1"/>
  <c r="L58" i="1"/>
  <c r="L72" i="1"/>
  <c r="K53" i="1"/>
  <c r="L48" i="1"/>
  <c r="L55" i="1"/>
  <c r="L69" i="1"/>
  <c r="L76" i="1"/>
  <c r="K49" i="1"/>
  <c r="K63" i="1"/>
  <c r="L77" i="1"/>
  <c r="K51" i="1"/>
  <c r="K41" i="1"/>
  <c r="K74" i="1"/>
  <c r="K33" i="1"/>
  <c r="K38" i="1"/>
  <c r="L81" i="1" l="1"/>
  <c r="P41" i="1" s="1"/>
  <c r="P43" i="1" s="1"/>
  <c r="L80" i="1"/>
  <c r="P40" i="1" s="1"/>
  <c r="K80" i="1"/>
  <c r="P39" i="1" s="1"/>
</calcChain>
</file>

<file path=xl/sharedStrings.xml><?xml version="1.0" encoding="utf-8"?>
<sst xmlns="http://schemas.openxmlformats.org/spreadsheetml/2006/main" count="84" uniqueCount="62">
  <si>
    <t>KINH TẾ XU — SOURCE &amp; SINK (tổng hợp 1 sheet)</t>
  </si>
  <si>
    <t>THAM SỐ CÔNG THỨC</t>
  </si>
  <si>
    <t>Hệ số (base)</t>
  </si>
  <si>
    <t>Bonus / lượt dư (đã bỏ, giữ = 0)</t>
  </si>
  <si>
    <t>Bonus không dùng booster</t>
  </si>
  <si>
    <t>Nhân màn chốt chương</t>
  </si>
  <si>
    <t>TIÊU (SINK)</t>
  </si>
  <si>
    <t>Món</t>
  </si>
  <si>
    <t>Loại</t>
  </si>
  <si>
    <t>Giá (Xu)</t>
  </si>
  <si>
    <t>Ngà nguyên bản</t>
  </si>
  <si>
    <t>Skin quân</t>
  </si>
  <si>
    <t>Ngọc bích</t>
  </si>
  <si>
    <t>Mực đen</t>
  </si>
  <si>
    <t>Hổ phách</t>
  </si>
  <si>
    <t>Thập Nhị Chi</t>
  </si>
  <si>
    <t>Muông Thú</t>
  </si>
  <si>
    <t>Tứ Quý Trái Cây</t>
  </si>
  <si>
    <t>Bài Tây</t>
  </si>
  <si>
    <t>Hoa Sen</t>
  </si>
  <si>
    <t>Biển Cả</t>
  </si>
  <si>
    <t>Trân Bảo</t>
  </si>
  <si>
    <t>Tứ Thời</t>
  </si>
  <si>
    <t>Gỗ nguyên bản</t>
  </si>
  <si>
    <t>Skin bàn</t>
  </si>
  <si>
    <t>Tre trúc</t>
  </si>
  <si>
    <t>Đá xanh</t>
  </si>
  <si>
    <t>Ngọc Bích Hoàng Cung</t>
  </si>
  <si>
    <t>Sơn Mài Đỏ</t>
  </si>
  <si>
    <t>Giấy Hoa Tiên</t>
  </si>
  <si>
    <t>Sứ Men Lam</t>
  </si>
  <si>
    <t>Màn</t>
  </si>
  <si>
    <t>Move Limit</t>
  </si>
  <si>
    <t>Nước lời giải</t>
  </si>
  <si>
    <t>Lượt dư</t>
  </si>
  <si>
    <t>Có Booster?</t>
  </si>
  <si>
    <t>Màn chốt chương?</t>
  </si>
  <si>
    <t>Bonus lượt dư</t>
  </si>
  <si>
    <t>Bonus booster</t>
  </si>
  <si>
    <t>Tổng trước nhân</t>
  </si>
  <si>
    <t>Xu — tối ưu</t>
  </si>
  <si>
    <t>Xu — tệ nhất</t>
  </si>
  <si>
    <t>Vườn Anh Đào</t>
  </si>
  <si>
    <t>Điện Rồng Vàng</t>
  </si>
  <si>
    <t>Ánh Trăng Đêm</t>
  </si>
  <si>
    <t>Trà Quán</t>
  </si>
  <si>
    <t>Gói Booster (+5 lượt)</t>
  </si>
  <si>
    <t>Booster</t>
  </si>
  <si>
    <t>Tổng nếu mua hết catalogue</t>
  </si>
  <si>
    <t>Skin rẻ nhất (bỏ qua giá 0)</t>
  </si>
  <si>
    <t>Xu / 1 lượt booster</t>
  </si>
  <si>
    <t>CÂN BẰNG</t>
  </si>
  <si>
    <t>Tổng Xu tối ưu — 50 màn</t>
  </si>
  <si>
    <t>Tổng Xu tệ nhất — 50 màn</t>
  </si>
  <si>
    <t>Tệ nhất — cộng dồn tới màn 30</t>
  </si>
  <si>
    <t>Giá skin rẻ nhất</t>
  </si>
  <si>
    <t>Đủ mua skin rẻ nhất ở màn 30?</t>
  </si>
  <si>
    <t>Đổi Hệ số/Offset/giá ở trên — mọi ô Cân bằng tự tính lại, kể cả PASS/FAIL.</t>
  </si>
  <si>
    <t>TỔNG</t>
  </si>
  <si>
    <t>Tốc độ tăng (growth, POWER)</t>
  </si>
  <si>
    <t>NGUỒN THU (SOURCE) - round(He so x Growth^(Man-1))</t>
  </si>
  <si>
    <t>San (exponential)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</si>
</sst>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5"/>
      <color rgb="FF8A5A13"/>
      <name val="Calibri"/>
    </font>
    <font>
      <b/>
      <sz val="12"/>
      <color rgb="FF8A5A13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color rgb="FF8A5A13"/>
      <name val="Calibri"/>
    </font>
    <font>
      <b/>
      <sz val="13"/>
      <name val="Calibri"/>
    </font>
    <font>
      <i/>
      <sz val="10"/>
      <color rgb="FF6B5C46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CEFD0"/>
      </patternFill>
    </fill>
    <fill>
      <patternFill patternType="solid">
        <fgColor rgb="FF3D2A2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4" fillId="3" borderId="0" xfId="0" applyFont="1" applyFill="1" applyAlignment="1">
      <alignment vertical="center"/>
    </xf>
    <xf numFmtId="3" fontId="0" fillId="0" borderId="0" xfId="0" applyNumberFormat="1"/>
    <xf numFmtId="3" fontId="4" fillId="3" borderId="0" xfId="0" applyNumberFormat="1" applyFont="1" applyFill="1" applyAlignment="1">
      <alignment vertical="center"/>
    </xf>
    <xf numFmtId="0" fontId="3" fillId="0" borderId="0" xfId="0" applyFont="1"/>
    <xf numFmtId="3" fontId="3" fillId="0" borderId="0" xfId="0" applyNumberFormat="1" applyFont="1"/>
    <xf numFmtId="3" fontId="5" fillId="0" borderId="0" xfId="0" applyNumberFormat="1" applyFont="1"/>
    <xf numFmtId="164" fontId="0" fillId="0" borderId="0" xfId="0" applyNumberFormat="1"/>
    <xf numFmtId="3" fontId="2" fillId="0" borderId="0" xfId="0" applyNumberFormat="1" applyFont="1"/>
    <xf numFmtId="0" fontId="6" fillId="0" borderId="0" xfId="0" applyFont="1"/>
    <xf numFmtId="0" fontId="5" fillId="0" borderId="0" xfId="0" applyFont="1"/>
    <xf numFmtId="0" fontId="1" fillId="0" borderId="0" xfId="0" applyFont="1"/>
    <xf numFmtId="0" fontId="7" fillId="0" borderId="0" xfId="0" applyFont="1"/>
  </cellXfs>
  <cellStyles count="1">
    <cellStyle name="Normal" xfId="0" builtinId="0"/>
  </cellStyles>
  <dxfs count="2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3000</xdr:colOff>
      <xdr:row>2</xdr:row>
      <xdr:rowOff>18000</xdr:rowOff>
    </xdr:from>
    <xdr:ext cx="8953500" cy="413385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1"/>
  <sheetViews>
    <sheetView tabSelected="1" workbookViewId="0">
      <pane ySplit="29" topLeftCell="A30" activePane="bottomLeft" state="frozen"/>
      <selection pane="bottomLeft" sqref="A1:L1"/>
    </sheetView>
  </sheetViews>
  <sheetFormatPr defaultRowHeight="14.5" x14ac:dyDescent="0.35"/>
  <cols>
    <col min="1" max="1" width="6" customWidth="1"/>
    <col min="2" max="2" width="11" customWidth="1"/>
    <col min="3" max="3" width="12" customWidth="1"/>
    <col min="5" max="5" width="10" customWidth="1"/>
    <col min="6" max="6" width="13" customWidth="1"/>
    <col min="7" max="7" width="11" customWidth="1"/>
    <col min="8" max="9" width="13" customWidth="1"/>
    <col min="10" max="10" width="15" customWidth="1"/>
    <col min="11" max="12" width="13" customWidth="1"/>
    <col min="13" max="13" width="2" customWidth="1"/>
    <col min="14" max="14" width="24" customWidth="1"/>
    <col min="15" max="15" width="14" customWidth="1"/>
    <col min="16" max="16" width="12" customWidth="1"/>
  </cols>
  <sheetData>
    <row r="1" spans="1:16" ht="19.5" x14ac:dyDescent="0.45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N1" s="1" t="s">
        <v>1</v>
      </c>
    </row>
    <row r="2" spans="1:16" x14ac:dyDescent="0.35">
      <c r="N2" t="s">
        <v>2</v>
      </c>
      <c r="O2" s="2">
        <v>9</v>
      </c>
    </row>
    <row r="3" spans="1:16" ht="16.75" customHeight="1" x14ac:dyDescent="0.35">
      <c r="N3" t="s">
        <v>59</v>
      </c>
      <c r="O3" s="2">
        <v>1.07</v>
      </c>
    </row>
    <row r="4" spans="1:16" ht="16.75" customHeight="1" x14ac:dyDescent="0.35">
      <c r="N4" t="s">
        <v>3</v>
      </c>
      <c r="O4" s="2">
        <v>0</v>
      </c>
    </row>
    <row r="5" spans="1:16" ht="16.75" customHeight="1" x14ac:dyDescent="0.35">
      <c r="N5" t="s">
        <v>4</v>
      </c>
      <c r="O5" s="2">
        <v>15</v>
      </c>
    </row>
    <row r="6" spans="1:16" ht="16.75" customHeight="1" x14ac:dyDescent="0.35">
      <c r="N6" t="s">
        <v>5</v>
      </c>
      <c r="O6" s="2">
        <v>2</v>
      </c>
    </row>
    <row r="7" spans="1:16" ht="16.75" customHeight="1" x14ac:dyDescent="0.35"/>
    <row r="8" spans="1:16" ht="16.75" customHeight="1" x14ac:dyDescent="0.35">
      <c r="N8" s="1" t="s">
        <v>6</v>
      </c>
    </row>
    <row r="9" spans="1:16" s="3" customFormat="1" ht="16.75" customHeight="1" x14ac:dyDescent="0.35">
      <c r="N9" s="3" t="s">
        <v>7</v>
      </c>
      <c r="O9" s="3" t="s">
        <v>8</v>
      </c>
      <c r="P9" s="3" t="s">
        <v>9</v>
      </c>
    </row>
    <row r="10" spans="1:16" ht="16.75" customHeight="1" x14ac:dyDescent="0.35">
      <c r="N10" t="s">
        <v>10</v>
      </c>
      <c r="O10" t="s">
        <v>11</v>
      </c>
      <c r="P10" s="4">
        <v>0</v>
      </c>
    </row>
    <row r="11" spans="1:16" ht="16.75" customHeight="1" x14ac:dyDescent="0.35">
      <c r="N11" t="s">
        <v>12</v>
      </c>
      <c r="O11" t="s">
        <v>11</v>
      </c>
      <c r="P11" s="4">
        <v>895</v>
      </c>
    </row>
    <row r="12" spans="1:16" ht="16.75" customHeight="1" x14ac:dyDescent="0.35">
      <c r="N12" t="s">
        <v>13</v>
      </c>
      <c r="O12" t="s">
        <v>11</v>
      </c>
      <c r="P12" s="4">
        <v>1195</v>
      </c>
    </row>
    <row r="13" spans="1:16" ht="16.75" customHeight="1" x14ac:dyDescent="0.35">
      <c r="N13" t="s">
        <v>14</v>
      </c>
      <c r="O13" t="s">
        <v>11</v>
      </c>
      <c r="P13" s="4">
        <v>1490</v>
      </c>
    </row>
    <row r="14" spans="1:16" ht="16.75" customHeight="1" x14ac:dyDescent="0.35">
      <c r="N14" t="s">
        <v>15</v>
      </c>
      <c r="O14" t="s">
        <v>11</v>
      </c>
      <c r="P14" s="4">
        <v>1910</v>
      </c>
    </row>
    <row r="15" spans="1:16" ht="16.75" customHeight="1" x14ac:dyDescent="0.35">
      <c r="N15" t="s">
        <v>16</v>
      </c>
      <c r="O15" t="s">
        <v>11</v>
      </c>
      <c r="P15" s="4">
        <v>1670</v>
      </c>
    </row>
    <row r="16" spans="1:16" ht="16.75" customHeight="1" x14ac:dyDescent="0.35">
      <c r="N16" t="s">
        <v>17</v>
      </c>
      <c r="O16" t="s">
        <v>11</v>
      </c>
      <c r="P16" s="4">
        <v>1550</v>
      </c>
    </row>
    <row r="17" spans="1:16" ht="16.75" customHeight="1" x14ac:dyDescent="0.35">
      <c r="N17" t="s">
        <v>18</v>
      </c>
      <c r="O17" t="s">
        <v>11</v>
      </c>
      <c r="P17" s="4">
        <v>1790</v>
      </c>
    </row>
    <row r="18" spans="1:16" ht="16.75" customHeight="1" x14ac:dyDescent="0.35">
      <c r="N18" t="s">
        <v>19</v>
      </c>
      <c r="O18" t="s">
        <v>11</v>
      </c>
      <c r="P18" s="4">
        <v>1730</v>
      </c>
    </row>
    <row r="19" spans="1:16" ht="16.75" customHeight="1" x14ac:dyDescent="0.35">
      <c r="N19" t="s">
        <v>20</v>
      </c>
      <c r="O19" t="s">
        <v>11</v>
      </c>
      <c r="P19" s="4">
        <v>1610</v>
      </c>
    </row>
    <row r="20" spans="1:16" ht="16.75" customHeight="1" x14ac:dyDescent="0.35">
      <c r="N20" t="s">
        <v>21</v>
      </c>
      <c r="O20" t="s">
        <v>11</v>
      </c>
      <c r="P20" s="4">
        <v>2265</v>
      </c>
    </row>
    <row r="21" spans="1:16" ht="16.75" customHeight="1" x14ac:dyDescent="0.35">
      <c r="N21" t="s">
        <v>22</v>
      </c>
      <c r="O21" t="s">
        <v>11</v>
      </c>
      <c r="P21" s="4">
        <v>1850</v>
      </c>
    </row>
    <row r="22" spans="1:16" ht="16.75" customHeight="1" x14ac:dyDescent="0.35">
      <c r="N22" t="s">
        <v>23</v>
      </c>
      <c r="O22" t="s">
        <v>24</v>
      </c>
      <c r="P22" s="4">
        <v>0</v>
      </c>
    </row>
    <row r="23" spans="1:16" ht="16.75" customHeight="1" x14ac:dyDescent="0.35">
      <c r="N23" t="s">
        <v>25</v>
      </c>
      <c r="O23" t="s">
        <v>24</v>
      </c>
      <c r="P23" s="4">
        <v>1195</v>
      </c>
    </row>
    <row r="24" spans="1:16" ht="16.75" customHeight="1" x14ac:dyDescent="0.35">
      <c r="N24" t="s">
        <v>26</v>
      </c>
      <c r="O24" t="s">
        <v>24</v>
      </c>
      <c r="P24" s="4">
        <v>1790</v>
      </c>
    </row>
    <row r="25" spans="1:16" ht="16.75" customHeight="1" x14ac:dyDescent="0.35">
      <c r="N25" t="s">
        <v>27</v>
      </c>
      <c r="O25" t="s">
        <v>24</v>
      </c>
      <c r="P25" s="4">
        <v>1670</v>
      </c>
    </row>
    <row r="26" spans="1:16" ht="16.75" customHeight="1" x14ac:dyDescent="0.35">
      <c r="N26" t="s">
        <v>28</v>
      </c>
      <c r="O26" t="s">
        <v>24</v>
      </c>
      <c r="P26" s="4">
        <v>1550</v>
      </c>
    </row>
    <row r="27" spans="1:16" x14ac:dyDescent="0.35">
      <c r="N27" t="s">
        <v>29</v>
      </c>
      <c r="O27" t="s">
        <v>24</v>
      </c>
      <c r="P27" s="4">
        <v>1315</v>
      </c>
    </row>
    <row r="28" spans="1:16" ht="15.5" x14ac:dyDescent="0.35">
      <c r="A28" s="1" t="s">
        <v>60</v>
      </c>
      <c r="N28" t="s">
        <v>30</v>
      </c>
      <c r="O28" t="s">
        <v>24</v>
      </c>
      <c r="P28" s="4">
        <v>1790</v>
      </c>
    </row>
    <row r="29" spans="1:16" s="3" customFormat="1" x14ac:dyDescent="0.35">
      <c r="A29" s="3" t="s">
        <v>31</v>
      </c>
      <c r="B29" s="3" t="s">
        <v>32</v>
      </c>
      <c r="C29" s="3" t="s">
        <v>33</v>
      </c>
      <c r="D29" s="3" t="s">
        <v>34</v>
      </c>
      <c r="E29" s="3" t="s">
        <v>35</v>
      </c>
      <c r="F29" s="3" t="s">
        <v>36</v>
      </c>
      <c r="G29" s="3" t="s">
        <v>61</v>
      </c>
      <c r="H29" s="3" t="s">
        <v>37</v>
      </c>
      <c r="I29" s="3" t="s">
        <v>38</v>
      </c>
      <c r="J29" s="3" t="s">
        <v>39</v>
      </c>
      <c r="K29" s="3" t="s">
        <v>40</v>
      </c>
      <c r="L29" s="3" t="s">
        <v>41</v>
      </c>
      <c r="N29" s="3" t="s">
        <v>42</v>
      </c>
      <c r="O29" s="3" t="s">
        <v>24</v>
      </c>
      <c r="P29" s="5">
        <v>1550</v>
      </c>
    </row>
    <row r="30" spans="1:16" x14ac:dyDescent="0.35">
      <c r="A30">
        <v>1</v>
      </c>
      <c r="B30">
        <v>4</v>
      </c>
      <c r="C30">
        <v>2</v>
      </c>
      <c r="D30">
        <f t="shared" ref="D30:D61" si="0">MAX(0,B30-C30)</f>
        <v>2</v>
      </c>
      <c r="E30">
        <v>0</v>
      </c>
      <c r="F30">
        <f t="shared" ref="F30:F61" si="1">IF(MOD(A30,10)=0,1,0)</f>
        <v>0</v>
      </c>
      <c r="G30">
        <f>ROUND($O$2*POWER($O$3,A30-1),0)</f>
        <v>9</v>
      </c>
      <c r="H30">
        <f t="shared" ref="H30:H61" si="2">D30*$O$4</f>
        <v>0</v>
      </c>
      <c r="I30">
        <f t="shared" ref="I30:I61" si="3">IF(E30=1,$O$5,0)</f>
        <v>0</v>
      </c>
      <c r="J30">
        <f t="shared" ref="J30:J61" si="4">G30+H30+I30</f>
        <v>9</v>
      </c>
      <c r="K30">
        <f t="shared" ref="K30:K61" si="5">IF(F30=1,J30*$O$6,J30)</f>
        <v>9</v>
      </c>
      <c r="L30">
        <f t="shared" ref="L30:L61" si="6">IF(F30=1,G30*$O$6,G30)</f>
        <v>9</v>
      </c>
      <c r="N30" t="s">
        <v>43</v>
      </c>
      <c r="O30" t="s">
        <v>24</v>
      </c>
      <c r="P30" s="4">
        <v>2150</v>
      </c>
    </row>
    <row r="31" spans="1:16" x14ac:dyDescent="0.35">
      <c r="A31">
        <v>2</v>
      </c>
      <c r="B31">
        <v>6</v>
      </c>
      <c r="C31">
        <v>5</v>
      </c>
      <c r="D31">
        <f t="shared" si="0"/>
        <v>1</v>
      </c>
      <c r="E31">
        <v>1</v>
      </c>
      <c r="F31">
        <f t="shared" si="1"/>
        <v>0</v>
      </c>
      <c r="G31">
        <f>ROUND($O$2*POWER($O$3,A31-1),0)</f>
        <v>10</v>
      </c>
      <c r="H31">
        <f t="shared" si="2"/>
        <v>0</v>
      </c>
      <c r="I31">
        <f t="shared" si="3"/>
        <v>15</v>
      </c>
      <c r="J31">
        <f t="shared" si="4"/>
        <v>25</v>
      </c>
      <c r="K31">
        <f t="shared" si="5"/>
        <v>25</v>
      </c>
      <c r="L31">
        <f t="shared" si="6"/>
        <v>10</v>
      </c>
      <c r="N31" t="s">
        <v>44</v>
      </c>
      <c r="O31" t="s">
        <v>24</v>
      </c>
      <c r="P31" s="4">
        <v>1430</v>
      </c>
    </row>
    <row r="32" spans="1:16" x14ac:dyDescent="0.35">
      <c r="A32">
        <v>3</v>
      </c>
      <c r="B32">
        <v>7</v>
      </c>
      <c r="C32">
        <v>6</v>
      </c>
      <c r="D32">
        <f t="shared" si="0"/>
        <v>1</v>
      </c>
      <c r="E32">
        <v>1</v>
      </c>
      <c r="F32">
        <f t="shared" si="1"/>
        <v>0</v>
      </c>
      <c r="G32">
        <f>ROUND($O$2*POWER($O$3,A32-1),0)</f>
        <v>10</v>
      </c>
      <c r="H32">
        <f t="shared" si="2"/>
        <v>0</v>
      </c>
      <c r="I32">
        <f t="shared" si="3"/>
        <v>15</v>
      </c>
      <c r="J32">
        <f t="shared" si="4"/>
        <v>25</v>
      </c>
      <c r="K32">
        <f t="shared" si="5"/>
        <v>25</v>
      </c>
      <c r="L32">
        <f t="shared" si="6"/>
        <v>10</v>
      </c>
      <c r="N32" t="s">
        <v>45</v>
      </c>
      <c r="O32" t="s">
        <v>24</v>
      </c>
      <c r="P32" s="4">
        <v>1195</v>
      </c>
    </row>
    <row r="33" spans="1:16" x14ac:dyDescent="0.35">
      <c r="A33">
        <v>4</v>
      </c>
      <c r="B33">
        <v>7</v>
      </c>
      <c r="C33">
        <v>7</v>
      </c>
      <c r="D33">
        <f t="shared" si="0"/>
        <v>0</v>
      </c>
      <c r="E33">
        <v>1</v>
      </c>
      <c r="F33">
        <f t="shared" si="1"/>
        <v>0</v>
      </c>
      <c r="G33">
        <f>ROUND($O$2*POWER($O$3,A33-1),0)</f>
        <v>11</v>
      </c>
      <c r="H33">
        <f t="shared" si="2"/>
        <v>0</v>
      </c>
      <c r="I33">
        <f t="shared" si="3"/>
        <v>15</v>
      </c>
      <c r="J33">
        <f t="shared" si="4"/>
        <v>26</v>
      </c>
      <c r="K33">
        <f t="shared" si="5"/>
        <v>26</v>
      </c>
      <c r="L33">
        <f t="shared" si="6"/>
        <v>11</v>
      </c>
      <c r="N33" t="s">
        <v>46</v>
      </c>
      <c r="O33" t="s">
        <v>47</v>
      </c>
      <c r="P33" s="4">
        <v>100</v>
      </c>
    </row>
    <row r="34" spans="1:16" x14ac:dyDescent="0.35">
      <c r="A34">
        <v>5</v>
      </c>
      <c r="B34">
        <v>6</v>
      </c>
      <c r="C34">
        <v>4</v>
      </c>
      <c r="D34">
        <f t="shared" si="0"/>
        <v>2</v>
      </c>
      <c r="E34">
        <v>1</v>
      </c>
      <c r="F34">
        <f t="shared" si="1"/>
        <v>0</v>
      </c>
      <c r="G34">
        <f>ROUND($O$2*POWER($O$3,A34-1),0)</f>
        <v>12</v>
      </c>
      <c r="H34">
        <f t="shared" si="2"/>
        <v>0</v>
      </c>
      <c r="I34">
        <f t="shared" si="3"/>
        <v>15</v>
      </c>
      <c r="J34">
        <f t="shared" si="4"/>
        <v>27</v>
      </c>
      <c r="K34">
        <f t="shared" si="5"/>
        <v>27</v>
      </c>
      <c r="L34">
        <f t="shared" si="6"/>
        <v>12</v>
      </c>
      <c r="N34" s="6" t="s">
        <v>48</v>
      </c>
      <c r="P34" s="7">
        <f>SUM(P10:P32)</f>
        <v>33590</v>
      </c>
    </row>
    <row r="35" spans="1:16" x14ac:dyDescent="0.35">
      <c r="A35">
        <v>6</v>
      </c>
      <c r="B35">
        <v>7</v>
      </c>
      <c r="C35">
        <v>5</v>
      </c>
      <c r="D35">
        <f t="shared" si="0"/>
        <v>2</v>
      </c>
      <c r="E35">
        <v>1</v>
      </c>
      <c r="F35">
        <f t="shared" si="1"/>
        <v>0</v>
      </c>
      <c r="G35">
        <f>ROUND($O$2*POWER($O$3,A35-1),0)</f>
        <v>13</v>
      </c>
      <c r="H35">
        <f t="shared" si="2"/>
        <v>0</v>
      </c>
      <c r="I35">
        <f t="shared" si="3"/>
        <v>15</v>
      </c>
      <c r="J35">
        <f t="shared" si="4"/>
        <v>28</v>
      </c>
      <c r="K35">
        <f t="shared" si="5"/>
        <v>28</v>
      </c>
      <c r="L35">
        <f t="shared" si="6"/>
        <v>13</v>
      </c>
      <c r="N35" s="6" t="s">
        <v>49</v>
      </c>
      <c r="P35" s="8">
        <f>MIN(P11:P21,P23:P32)</f>
        <v>895</v>
      </c>
    </row>
    <row r="36" spans="1:16" x14ac:dyDescent="0.35">
      <c r="A36">
        <v>7</v>
      </c>
      <c r="B36">
        <v>8</v>
      </c>
      <c r="C36">
        <v>6</v>
      </c>
      <c r="D36">
        <f t="shared" si="0"/>
        <v>2</v>
      </c>
      <c r="E36">
        <v>1</v>
      </c>
      <c r="F36">
        <f t="shared" si="1"/>
        <v>0</v>
      </c>
      <c r="G36">
        <f>ROUND($O$2*POWER($O$3,A36-1),0)</f>
        <v>14</v>
      </c>
      <c r="H36">
        <f t="shared" si="2"/>
        <v>0</v>
      </c>
      <c r="I36">
        <f t="shared" si="3"/>
        <v>15</v>
      </c>
      <c r="J36">
        <f t="shared" si="4"/>
        <v>29</v>
      </c>
      <c r="K36">
        <f t="shared" si="5"/>
        <v>29</v>
      </c>
      <c r="L36">
        <f t="shared" si="6"/>
        <v>14</v>
      </c>
      <c r="N36" t="s">
        <v>50</v>
      </c>
      <c r="P36" s="9">
        <f>P33/5</f>
        <v>20</v>
      </c>
    </row>
    <row r="37" spans="1:16" x14ac:dyDescent="0.35">
      <c r="A37">
        <v>8</v>
      </c>
      <c r="B37">
        <v>5</v>
      </c>
      <c r="C37">
        <v>3</v>
      </c>
      <c r="D37">
        <f t="shared" si="0"/>
        <v>2</v>
      </c>
      <c r="E37">
        <v>1</v>
      </c>
      <c r="F37">
        <f t="shared" si="1"/>
        <v>0</v>
      </c>
      <c r="G37">
        <f>ROUND($O$2*POWER($O$3,A37-1),0)</f>
        <v>14</v>
      </c>
      <c r="H37">
        <f t="shared" si="2"/>
        <v>0</v>
      </c>
      <c r="I37">
        <f t="shared" si="3"/>
        <v>15</v>
      </c>
      <c r="J37">
        <f t="shared" si="4"/>
        <v>29</v>
      </c>
      <c r="K37">
        <f t="shared" si="5"/>
        <v>29</v>
      </c>
      <c r="L37">
        <f t="shared" si="6"/>
        <v>14</v>
      </c>
    </row>
    <row r="38" spans="1:16" ht="15.5" x14ac:dyDescent="0.35">
      <c r="A38">
        <v>9</v>
      </c>
      <c r="B38">
        <v>7</v>
      </c>
      <c r="C38">
        <v>5</v>
      </c>
      <c r="D38">
        <f t="shared" si="0"/>
        <v>2</v>
      </c>
      <c r="E38">
        <v>1</v>
      </c>
      <c r="F38">
        <f t="shared" si="1"/>
        <v>0</v>
      </c>
      <c r="G38">
        <f>ROUND($O$2*POWER($O$3,A38-1),0)</f>
        <v>15</v>
      </c>
      <c r="H38">
        <f t="shared" si="2"/>
        <v>0</v>
      </c>
      <c r="I38">
        <f t="shared" si="3"/>
        <v>15</v>
      </c>
      <c r="J38">
        <f t="shared" si="4"/>
        <v>30</v>
      </c>
      <c r="K38">
        <f t="shared" si="5"/>
        <v>30</v>
      </c>
      <c r="L38">
        <f t="shared" si="6"/>
        <v>15</v>
      </c>
      <c r="N38" s="1" t="s">
        <v>51</v>
      </c>
    </row>
    <row r="39" spans="1:16" ht="15.5" x14ac:dyDescent="0.35">
      <c r="A39">
        <v>10</v>
      </c>
      <c r="B39">
        <v>9</v>
      </c>
      <c r="C39">
        <v>7</v>
      </c>
      <c r="D39">
        <f t="shared" si="0"/>
        <v>2</v>
      </c>
      <c r="E39">
        <v>1</v>
      </c>
      <c r="F39">
        <f t="shared" si="1"/>
        <v>1</v>
      </c>
      <c r="G39">
        <f>ROUND($O$2*POWER($O$3,A39-1),0)</f>
        <v>17</v>
      </c>
      <c r="H39">
        <f t="shared" si="2"/>
        <v>0</v>
      </c>
      <c r="I39">
        <f t="shared" si="3"/>
        <v>15</v>
      </c>
      <c r="J39">
        <f t="shared" si="4"/>
        <v>32</v>
      </c>
      <c r="K39">
        <f t="shared" si="5"/>
        <v>64</v>
      </c>
      <c r="L39">
        <f t="shared" si="6"/>
        <v>34</v>
      </c>
      <c r="N39" t="s">
        <v>52</v>
      </c>
      <c r="P39" s="10">
        <f>K80</f>
        <v>4959</v>
      </c>
    </row>
    <row r="40" spans="1:16" ht="15.5" x14ac:dyDescent="0.35">
      <c r="A40">
        <v>11</v>
      </c>
      <c r="B40">
        <v>9</v>
      </c>
      <c r="C40">
        <v>8</v>
      </c>
      <c r="D40">
        <f t="shared" si="0"/>
        <v>1</v>
      </c>
      <c r="E40">
        <v>1</v>
      </c>
      <c r="F40">
        <f t="shared" si="1"/>
        <v>0</v>
      </c>
      <c r="G40">
        <f>ROUND($O$2*POWER($O$3,A40-1),0)</f>
        <v>18</v>
      </c>
      <c r="H40">
        <f t="shared" si="2"/>
        <v>0</v>
      </c>
      <c r="I40">
        <f t="shared" si="3"/>
        <v>15</v>
      </c>
      <c r="J40">
        <f t="shared" si="4"/>
        <v>33</v>
      </c>
      <c r="K40">
        <f t="shared" si="5"/>
        <v>33</v>
      </c>
      <c r="L40">
        <f t="shared" si="6"/>
        <v>18</v>
      </c>
      <c r="N40" t="s">
        <v>53</v>
      </c>
      <c r="P40" s="10">
        <f>L80</f>
        <v>4149</v>
      </c>
    </row>
    <row r="41" spans="1:16" ht="15.5" x14ac:dyDescent="0.35">
      <c r="A41">
        <v>12</v>
      </c>
      <c r="B41">
        <v>7</v>
      </c>
      <c r="C41">
        <v>6</v>
      </c>
      <c r="D41">
        <f t="shared" si="0"/>
        <v>1</v>
      </c>
      <c r="E41">
        <v>1</v>
      </c>
      <c r="F41">
        <f t="shared" si="1"/>
        <v>0</v>
      </c>
      <c r="G41">
        <f>ROUND($O$2*POWER($O$3,A41-1),0)</f>
        <v>19</v>
      </c>
      <c r="H41">
        <f t="shared" si="2"/>
        <v>0</v>
      </c>
      <c r="I41">
        <f t="shared" si="3"/>
        <v>15</v>
      </c>
      <c r="J41">
        <f t="shared" si="4"/>
        <v>34</v>
      </c>
      <c r="K41">
        <f t="shared" si="5"/>
        <v>34</v>
      </c>
      <c r="L41">
        <f t="shared" si="6"/>
        <v>19</v>
      </c>
      <c r="N41" t="s">
        <v>54</v>
      </c>
      <c r="P41" s="10">
        <f>L81</f>
        <v>966</v>
      </c>
    </row>
    <row r="42" spans="1:16" ht="15.5" x14ac:dyDescent="0.35">
      <c r="A42">
        <v>13</v>
      </c>
      <c r="B42">
        <v>8</v>
      </c>
      <c r="C42">
        <v>7</v>
      </c>
      <c r="D42">
        <f t="shared" si="0"/>
        <v>1</v>
      </c>
      <c r="E42">
        <v>1</v>
      </c>
      <c r="F42">
        <f t="shared" si="1"/>
        <v>0</v>
      </c>
      <c r="G42">
        <f>ROUND($O$2*POWER($O$3,A42-1),0)</f>
        <v>20</v>
      </c>
      <c r="H42">
        <f t="shared" si="2"/>
        <v>0</v>
      </c>
      <c r="I42">
        <f t="shared" si="3"/>
        <v>15</v>
      </c>
      <c r="J42">
        <f t="shared" si="4"/>
        <v>35</v>
      </c>
      <c r="K42">
        <f t="shared" si="5"/>
        <v>35</v>
      </c>
      <c r="L42">
        <f t="shared" si="6"/>
        <v>20</v>
      </c>
      <c r="N42" t="s">
        <v>55</v>
      </c>
      <c r="P42" s="10">
        <f>P35</f>
        <v>895</v>
      </c>
    </row>
    <row r="43" spans="1:16" ht="17" x14ac:dyDescent="0.4">
      <c r="A43">
        <v>14</v>
      </c>
      <c r="B43">
        <v>9</v>
      </c>
      <c r="C43">
        <v>8</v>
      </c>
      <c r="D43">
        <f t="shared" si="0"/>
        <v>1</v>
      </c>
      <c r="E43">
        <v>1</v>
      </c>
      <c r="F43">
        <f t="shared" si="1"/>
        <v>0</v>
      </c>
      <c r="G43">
        <f>ROUND($O$2*POWER($O$3,A43-1),0)</f>
        <v>22</v>
      </c>
      <c r="H43">
        <f t="shared" si="2"/>
        <v>0</v>
      </c>
      <c r="I43">
        <f t="shared" si="3"/>
        <v>15</v>
      </c>
      <c r="J43">
        <f t="shared" si="4"/>
        <v>37</v>
      </c>
      <c r="K43">
        <f t="shared" si="5"/>
        <v>37</v>
      </c>
      <c r="L43">
        <f t="shared" si="6"/>
        <v>22</v>
      </c>
      <c r="N43" t="s">
        <v>56</v>
      </c>
      <c r="P43" s="11" t="str">
        <f>IF(P41&gt;=P42,"PASS ✓","FAIL ✗")</f>
        <v>PASS ✓</v>
      </c>
    </row>
    <row r="44" spans="1:16" x14ac:dyDescent="0.35">
      <c r="A44">
        <v>15</v>
      </c>
      <c r="B44">
        <v>8</v>
      </c>
      <c r="C44">
        <v>7</v>
      </c>
      <c r="D44">
        <f t="shared" si="0"/>
        <v>1</v>
      </c>
      <c r="E44">
        <v>1</v>
      </c>
      <c r="F44">
        <f t="shared" si="1"/>
        <v>0</v>
      </c>
      <c r="G44">
        <f>ROUND($O$2*POWER($O$3,A44-1),0)</f>
        <v>23</v>
      </c>
      <c r="H44">
        <f t="shared" si="2"/>
        <v>0</v>
      </c>
      <c r="I44">
        <f t="shared" si="3"/>
        <v>15</v>
      </c>
      <c r="J44">
        <f t="shared" si="4"/>
        <v>38</v>
      </c>
      <c r="K44">
        <f t="shared" si="5"/>
        <v>38</v>
      </c>
      <c r="L44">
        <f t="shared" si="6"/>
        <v>23</v>
      </c>
    </row>
    <row r="45" spans="1:16" x14ac:dyDescent="0.35">
      <c r="A45">
        <v>16</v>
      </c>
      <c r="B45">
        <v>10</v>
      </c>
      <c r="C45">
        <v>9</v>
      </c>
      <c r="D45">
        <f t="shared" si="0"/>
        <v>1</v>
      </c>
      <c r="E45">
        <v>1</v>
      </c>
      <c r="F45">
        <f t="shared" si="1"/>
        <v>0</v>
      </c>
      <c r="G45">
        <f>ROUND($O$2*POWER($O$3,A45-1),0)</f>
        <v>25</v>
      </c>
      <c r="H45">
        <f t="shared" si="2"/>
        <v>0</v>
      </c>
      <c r="I45">
        <f t="shared" si="3"/>
        <v>15</v>
      </c>
      <c r="J45">
        <f t="shared" si="4"/>
        <v>40</v>
      </c>
      <c r="K45">
        <f t="shared" si="5"/>
        <v>40</v>
      </c>
      <c r="L45">
        <f t="shared" si="6"/>
        <v>25</v>
      </c>
      <c r="N45" s="14" t="s">
        <v>57</v>
      </c>
      <c r="O45" s="14"/>
      <c r="P45" s="14"/>
    </row>
    <row r="46" spans="1:16" x14ac:dyDescent="0.35">
      <c r="A46">
        <v>17</v>
      </c>
      <c r="B46">
        <v>9</v>
      </c>
      <c r="C46">
        <v>8</v>
      </c>
      <c r="D46">
        <f t="shared" si="0"/>
        <v>1</v>
      </c>
      <c r="E46">
        <v>1</v>
      </c>
      <c r="F46">
        <f t="shared" si="1"/>
        <v>0</v>
      </c>
      <c r="G46">
        <f>ROUND($O$2*POWER($O$3,A46-1),0)</f>
        <v>27</v>
      </c>
      <c r="H46">
        <f t="shared" si="2"/>
        <v>0</v>
      </c>
      <c r="I46">
        <f t="shared" si="3"/>
        <v>15</v>
      </c>
      <c r="J46">
        <f t="shared" si="4"/>
        <v>42</v>
      </c>
      <c r="K46">
        <f t="shared" si="5"/>
        <v>42</v>
      </c>
      <c r="L46">
        <f t="shared" si="6"/>
        <v>27</v>
      </c>
    </row>
    <row r="47" spans="1:16" x14ac:dyDescent="0.35">
      <c r="A47">
        <v>18</v>
      </c>
      <c r="B47">
        <v>8</v>
      </c>
      <c r="C47">
        <v>8</v>
      </c>
      <c r="D47">
        <f t="shared" si="0"/>
        <v>0</v>
      </c>
      <c r="E47">
        <v>1</v>
      </c>
      <c r="F47">
        <f t="shared" si="1"/>
        <v>0</v>
      </c>
      <c r="G47">
        <f>ROUND($O$2*POWER($O$3,A47-1),0)</f>
        <v>28</v>
      </c>
      <c r="H47">
        <f t="shared" si="2"/>
        <v>0</v>
      </c>
      <c r="I47">
        <f t="shared" si="3"/>
        <v>15</v>
      </c>
      <c r="J47">
        <f t="shared" si="4"/>
        <v>43</v>
      </c>
      <c r="K47">
        <f t="shared" si="5"/>
        <v>43</v>
      </c>
      <c r="L47">
        <f t="shared" si="6"/>
        <v>28</v>
      </c>
    </row>
    <row r="48" spans="1:16" x14ac:dyDescent="0.35">
      <c r="A48">
        <v>19</v>
      </c>
      <c r="B48">
        <v>10</v>
      </c>
      <c r="C48">
        <v>9</v>
      </c>
      <c r="D48">
        <f t="shared" si="0"/>
        <v>1</v>
      </c>
      <c r="E48">
        <v>1</v>
      </c>
      <c r="F48">
        <f t="shared" si="1"/>
        <v>0</v>
      </c>
      <c r="G48">
        <f>ROUND($O$2*POWER($O$3,A48-1),0)</f>
        <v>30</v>
      </c>
      <c r="H48">
        <f t="shared" si="2"/>
        <v>0</v>
      </c>
      <c r="I48">
        <f t="shared" si="3"/>
        <v>15</v>
      </c>
      <c r="J48">
        <f t="shared" si="4"/>
        <v>45</v>
      </c>
      <c r="K48">
        <f t="shared" si="5"/>
        <v>45</v>
      </c>
      <c r="L48">
        <f t="shared" si="6"/>
        <v>30</v>
      </c>
    </row>
    <row r="49" spans="1:12" x14ac:dyDescent="0.35">
      <c r="A49">
        <v>20</v>
      </c>
      <c r="B49">
        <v>11</v>
      </c>
      <c r="C49">
        <v>8</v>
      </c>
      <c r="D49">
        <f t="shared" si="0"/>
        <v>3</v>
      </c>
      <c r="E49">
        <v>1</v>
      </c>
      <c r="F49">
        <f t="shared" si="1"/>
        <v>1</v>
      </c>
      <c r="G49">
        <f>ROUND($O$2*POWER($O$3,A49-1),0)</f>
        <v>33</v>
      </c>
      <c r="H49">
        <f t="shared" si="2"/>
        <v>0</v>
      </c>
      <c r="I49">
        <f t="shared" si="3"/>
        <v>15</v>
      </c>
      <c r="J49">
        <f t="shared" si="4"/>
        <v>48</v>
      </c>
      <c r="K49">
        <f t="shared" si="5"/>
        <v>96</v>
      </c>
      <c r="L49">
        <f t="shared" si="6"/>
        <v>66</v>
      </c>
    </row>
    <row r="50" spans="1:12" x14ac:dyDescent="0.35">
      <c r="A50">
        <v>21</v>
      </c>
      <c r="B50">
        <v>7</v>
      </c>
      <c r="C50">
        <v>5</v>
      </c>
      <c r="D50">
        <f t="shared" si="0"/>
        <v>2</v>
      </c>
      <c r="E50">
        <v>1</v>
      </c>
      <c r="F50">
        <f t="shared" si="1"/>
        <v>0</v>
      </c>
      <c r="G50">
        <f>ROUND($O$2*POWER($O$3,A50-1),0)</f>
        <v>35</v>
      </c>
      <c r="H50">
        <f t="shared" si="2"/>
        <v>0</v>
      </c>
      <c r="I50">
        <f t="shared" si="3"/>
        <v>15</v>
      </c>
      <c r="J50">
        <f t="shared" si="4"/>
        <v>50</v>
      </c>
      <c r="K50">
        <f t="shared" si="5"/>
        <v>50</v>
      </c>
      <c r="L50">
        <f t="shared" si="6"/>
        <v>35</v>
      </c>
    </row>
    <row r="51" spans="1:12" x14ac:dyDescent="0.35">
      <c r="A51">
        <v>22</v>
      </c>
      <c r="B51">
        <v>11</v>
      </c>
      <c r="C51">
        <v>11</v>
      </c>
      <c r="D51">
        <f t="shared" si="0"/>
        <v>0</v>
      </c>
      <c r="E51">
        <v>1</v>
      </c>
      <c r="F51">
        <f t="shared" si="1"/>
        <v>0</v>
      </c>
      <c r="G51">
        <f>ROUND($O$2*POWER($O$3,A51-1),0)</f>
        <v>37</v>
      </c>
      <c r="H51">
        <f t="shared" si="2"/>
        <v>0</v>
      </c>
      <c r="I51">
        <f t="shared" si="3"/>
        <v>15</v>
      </c>
      <c r="J51">
        <f t="shared" si="4"/>
        <v>52</v>
      </c>
      <c r="K51">
        <f t="shared" si="5"/>
        <v>52</v>
      </c>
      <c r="L51">
        <f t="shared" si="6"/>
        <v>37</v>
      </c>
    </row>
    <row r="52" spans="1:12" x14ac:dyDescent="0.35">
      <c r="A52">
        <v>23</v>
      </c>
      <c r="B52">
        <v>11</v>
      </c>
      <c r="C52">
        <v>11</v>
      </c>
      <c r="D52">
        <f t="shared" si="0"/>
        <v>0</v>
      </c>
      <c r="E52">
        <v>1</v>
      </c>
      <c r="F52">
        <f t="shared" si="1"/>
        <v>0</v>
      </c>
      <c r="G52">
        <f>ROUND($O$2*POWER($O$3,A52-1),0)</f>
        <v>40</v>
      </c>
      <c r="H52">
        <f t="shared" si="2"/>
        <v>0</v>
      </c>
      <c r="I52">
        <f t="shared" si="3"/>
        <v>15</v>
      </c>
      <c r="J52">
        <f t="shared" si="4"/>
        <v>55</v>
      </c>
      <c r="K52">
        <f t="shared" si="5"/>
        <v>55</v>
      </c>
      <c r="L52">
        <f t="shared" si="6"/>
        <v>40</v>
      </c>
    </row>
    <row r="53" spans="1:12" x14ac:dyDescent="0.35">
      <c r="A53">
        <v>24</v>
      </c>
      <c r="B53">
        <v>8</v>
      </c>
      <c r="C53">
        <v>6</v>
      </c>
      <c r="D53">
        <f t="shared" si="0"/>
        <v>2</v>
      </c>
      <c r="E53">
        <v>1</v>
      </c>
      <c r="F53">
        <f t="shared" si="1"/>
        <v>0</v>
      </c>
      <c r="G53">
        <f>ROUND($O$2*POWER($O$3,A53-1),0)</f>
        <v>43</v>
      </c>
      <c r="H53">
        <f t="shared" si="2"/>
        <v>0</v>
      </c>
      <c r="I53">
        <f t="shared" si="3"/>
        <v>15</v>
      </c>
      <c r="J53">
        <f t="shared" si="4"/>
        <v>58</v>
      </c>
      <c r="K53">
        <f t="shared" si="5"/>
        <v>58</v>
      </c>
      <c r="L53">
        <f t="shared" si="6"/>
        <v>43</v>
      </c>
    </row>
    <row r="54" spans="1:12" x14ac:dyDescent="0.35">
      <c r="A54">
        <v>25</v>
      </c>
      <c r="B54">
        <v>7</v>
      </c>
      <c r="C54">
        <v>5</v>
      </c>
      <c r="D54">
        <f t="shared" si="0"/>
        <v>2</v>
      </c>
      <c r="E54">
        <v>1</v>
      </c>
      <c r="F54">
        <f t="shared" si="1"/>
        <v>0</v>
      </c>
      <c r="G54">
        <f>ROUND($O$2*POWER($O$3,A54-1),0)</f>
        <v>46</v>
      </c>
      <c r="H54">
        <f t="shared" si="2"/>
        <v>0</v>
      </c>
      <c r="I54">
        <f t="shared" si="3"/>
        <v>15</v>
      </c>
      <c r="J54">
        <f t="shared" si="4"/>
        <v>61</v>
      </c>
      <c r="K54">
        <f t="shared" si="5"/>
        <v>61</v>
      </c>
      <c r="L54">
        <f t="shared" si="6"/>
        <v>46</v>
      </c>
    </row>
    <row r="55" spans="1:12" x14ac:dyDescent="0.35">
      <c r="A55">
        <v>26</v>
      </c>
      <c r="B55">
        <v>8</v>
      </c>
      <c r="C55">
        <v>6</v>
      </c>
      <c r="D55">
        <f t="shared" si="0"/>
        <v>2</v>
      </c>
      <c r="E55">
        <v>1</v>
      </c>
      <c r="F55">
        <f t="shared" si="1"/>
        <v>0</v>
      </c>
      <c r="G55">
        <f>ROUND($O$2*POWER($O$3,A55-1),0)</f>
        <v>49</v>
      </c>
      <c r="H55">
        <f t="shared" si="2"/>
        <v>0</v>
      </c>
      <c r="I55">
        <f t="shared" si="3"/>
        <v>15</v>
      </c>
      <c r="J55">
        <f t="shared" si="4"/>
        <v>64</v>
      </c>
      <c r="K55">
        <f t="shared" si="5"/>
        <v>64</v>
      </c>
      <c r="L55">
        <f t="shared" si="6"/>
        <v>49</v>
      </c>
    </row>
    <row r="56" spans="1:12" x14ac:dyDescent="0.35">
      <c r="A56">
        <v>27</v>
      </c>
      <c r="B56">
        <v>10</v>
      </c>
      <c r="C56">
        <v>9</v>
      </c>
      <c r="D56">
        <f t="shared" si="0"/>
        <v>1</v>
      </c>
      <c r="E56">
        <v>1</v>
      </c>
      <c r="F56">
        <f t="shared" si="1"/>
        <v>0</v>
      </c>
      <c r="G56">
        <f>ROUND($O$2*POWER($O$3,A56-1),0)</f>
        <v>52</v>
      </c>
      <c r="H56">
        <f t="shared" si="2"/>
        <v>0</v>
      </c>
      <c r="I56">
        <f t="shared" si="3"/>
        <v>15</v>
      </c>
      <c r="J56">
        <f t="shared" si="4"/>
        <v>67</v>
      </c>
      <c r="K56">
        <f t="shared" si="5"/>
        <v>67</v>
      </c>
      <c r="L56">
        <f t="shared" si="6"/>
        <v>52</v>
      </c>
    </row>
    <row r="57" spans="1:12" x14ac:dyDescent="0.35">
      <c r="A57">
        <v>28</v>
      </c>
      <c r="B57">
        <v>10</v>
      </c>
      <c r="C57">
        <v>8</v>
      </c>
      <c r="D57">
        <f t="shared" si="0"/>
        <v>2</v>
      </c>
      <c r="E57">
        <v>1</v>
      </c>
      <c r="F57">
        <f t="shared" si="1"/>
        <v>0</v>
      </c>
      <c r="G57">
        <f>ROUND($O$2*POWER($O$3,A57-1),0)</f>
        <v>56</v>
      </c>
      <c r="H57">
        <f t="shared" si="2"/>
        <v>0</v>
      </c>
      <c r="I57">
        <f t="shared" si="3"/>
        <v>15</v>
      </c>
      <c r="J57">
        <f t="shared" si="4"/>
        <v>71</v>
      </c>
      <c r="K57">
        <f t="shared" si="5"/>
        <v>71</v>
      </c>
      <c r="L57">
        <f t="shared" si="6"/>
        <v>56</v>
      </c>
    </row>
    <row r="58" spans="1:12" x14ac:dyDescent="0.35">
      <c r="A58">
        <v>29</v>
      </c>
      <c r="B58">
        <v>8</v>
      </c>
      <c r="C58">
        <v>6</v>
      </c>
      <c r="D58">
        <f t="shared" si="0"/>
        <v>2</v>
      </c>
      <c r="E58">
        <v>1</v>
      </c>
      <c r="F58">
        <f t="shared" si="1"/>
        <v>0</v>
      </c>
      <c r="G58">
        <f>ROUND($O$2*POWER($O$3,A58-1),0)</f>
        <v>60</v>
      </c>
      <c r="H58">
        <f t="shared" si="2"/>
        <v>0</v>
      </c>
      <c r="I58">
        <f t="shared" si="3"/>
        <v>15</v>
      </c>
      <c r="J58">
        <f t="shared" si="4"/>
        <v>75</v>
      </c>
      <c r="K58">
        <f t="shared" si="5"/>
        <v>75</v>
      </c>
      <c r="L58">
        <f t="shared" si="6"/>
        <v>60</v>
      </c>
    </row>
    <row r="59" spans="1:12" x14ac:dyDescent="0.35">
      <c r="A59">
        <v>30</v>
      </c>
      <c r="B59">
        <v>9</v>
      </c>
      <c r="C59">
        <v>8</v>
      </c>
      <c r="D59">
        <f t="shared" si="0"/>
        <v>1</v>
      </c>
      <c r="E59">
        <v>1</v>
      </c>
      <c r="F59">
        <f t="shared" si="1"/>
        <v>1</v>
      </c>
      <c r="G59">
        <f>ROUND($O$2*POWER($O$3,A59-1),0)</f>
        <v>64</v>
      </c>
      <c r="H59">
        <f t="shared" si="2"/>
        <v>0</v>
      </c>
      <c r="I59">
        <f t="shared" si="3"/>
        <v>15</v>
      </c>
      <c r="J59">
        <f t="shared" si="4"/>
        <v>79</v>
      </c>
      <c r="K59">
        <f t="shared" si="5"/>
        <v>158</v>
      </c>
      <c r="L59">
        <f t="shared" si="6"/>
        <v>128</v>
      </c>
    </row>
    <row r="60" spans="1:12" x14ac:dyDescent="0.35">
      <c r="A60">
        <v>31</v>
      </c>
      <c r="B60">
        <v>9</v>
      </c>
      <c r="C60">
        <v>9</v>
      </c>
      <c r="D60">
        <f t="shared" si="0"/>
        <v>0</v>
      </c>
      <c r="E60">
        <v>1</v>
      </c>
      <c r="F60">
        <f t="shared" si="1"/>
        <v>0</v>
      </c>
      <c r="G60">
        <f>ROUND($O$2*POWER($O$3,A60-1),0)</f>
        <v>69</v>
      </c>
      <c r="H60">
        <f t="shared" si="2"/>
        <v>0</v>
      </c>
      <c r="I60">
        <f t="shared" si="3"/>
        <v>15</v>
      </c>
      <c r="J60">
        <f t="shared" si="4"/>
        <v>84</v>
      </c>
      <c r="K60">
        <f t="shared" si="5"/>
        <v>84</v>
      </c>
      <c r="L60">
        <f t="shared" si="6"/>
        <v>69</v>
      </c>
    </row>
    <row r="61" spans="1:12" x14ac:dyDescent="0.35">
      <c r="A61">
        <v>32</v>
      </c>
      <c r="B61">
        <v>7</v>
      </c>
      <c r="C61">
        <v>6</v>
      </c>
      <c r="D61">
        <f t="shared" si="0"/>
        <v>1</v>
      </c>
      <c r="E61">
        <v>1</v>
      </c>
      <c r="F61">
        <f t="shared" si="1"/>
        <v>0</v>
      </c>
      <c r="G61">
        <f>ROUND($O$2*POWER($O$3,A61-1),0)</f>
        <v>73</v>
      </c>
      <c r="H61">
        <f t="shared" si="2"/>
        <v>0</v>
      </c>
      <c r="I61">
        <f t="shared" si="3"/>
        <v>15</v>
      </c>
      <c r="J61">
        <f t="shared" si="4"/>
        <v>88</v>
      </c>
      <c r="K61">
        <f t="shared" si="5"/>
        <v>88</v>
      </c>
      <c r="L61">
        <f t="shared" si="6"/>
        <v>73</v>
      </c>
    </row>
    <row r="62" spans="1:12" x14ac:dyDescent="0.35">
      <c r="A62">
        <v>33</v>
      </c>
      <c r="B62">
        <v>6</v>
      </c>
      <c r="C62">
        <v>5</v>
      </c>
      <c r="D62">
        <f t="shared" ref="D62:D93" si="7">MAX(0,B62-C62)</f>
        <v>1</v>
      </c>
      <c r="E62">
        <v>1</v>
      </c>
      <c r="F62">
        <f t="shared" ref="F62:F79" si="8">IF(MOD(A62,10)=0,1,0)</f>
        <v>0</v>
      </c>
      <c r="G62">
        <f>ROUND($O$2*POWER($O$3,A62-1),0)</f>
        <v>78</v>
      </c>
      <c r="H62">
        <f t="shared" ref="H62:H79" si="9">D62*$O$4</f>
        <v>0</v>
      </c>
      <c r="I62">
        <f t="shared" ref="I62:I79" si="10">IF(E62=1,$O$5,0)</f>
        <v>15</v>
      </c>
      <c r="J62">
        <f t="shared" ref="J62:J93" si="11">G62+H62+I62</f>
        <v>93</v>
      </c>
      <c r="K62">
        <f t="shared" ref="K62:K93" si="12">IF(F62=1,J62*$O$6,J62)</f>
        <v>93</v>
      </c>
      <c r="L62">
        <f t="shared" ref="L62:L79" si="13">IF(F62=1,G62*$O$6,G62)</f>
        <v>78</v>
      </c>
    </row>
    <row r="63" spans="1:12" x14ac:dyDescent="0.35">
      <c r="A63">
        <v>34</v>
      </c>
      <c r="B63">
        <v>7</v>
      </c>
      <c r="C63">
        <v>7</v>
      </c>
      <c r="D63">
        <f t="shared" si="7"/>
        <v>0</v>
      </c>
      <c r="E63">
        <v>1</v>
      </c>
      <c r="F63">
        <f t="shared" si="8"/>
        <v>0</v>
      </c>
      <c r="G63">
        <f>ROUND($O$2*POWER($O$3,A63-1),0)</f>
        <v>84</v>
      </c>
      <c r="H63">
        <f t="shared" si="9"/>
        <v>0</v>
      </c>
      <c r="I63">
        <f t="shared" si="10"/>
        <v>15</v>
      </c>
      <c r="J63">
        <f t="shared" si="11"/>
        <v>99</v>
      </c>
      <c r="K63">
        <f t="shared" si="12"/>
        <v>99</v>
      </c>
      <c r="L63">
        <f t="shared" si="13"/>
        <v>84</v>
      </c>
    </row>
    <row r="64" spans="1:12" x14ac:dyDescent="0.35">
      <c r="A64">
        <v>35</v>
      </c>
      <c r="B64">
        <v>7</v>
      </c>
      <c r="C64">
        <v>6</v>
      </c>
      <c r="D64">
        <f t="shared" si="7"/>
        <v>1</v>
      </c>
      <c r="E64">
        <v>1</v>
      </c>
      <c r="F64">
        <f t="shared" si="8"/>
        <v>0</v>
      </c>
      <c r="G64">
        <f>ROUND($O$2*POWER($O$3,A64-1),0)</f>
        <v>90</v>
      </c>
      <c r="H64">
        <f t="shared" si="9"/>
        <v>0</v>
      </c>
      <c r="I64">
        <f t="shared" si="10"/>
        <v>15</v>
      </c>
      <c r="J64">
        <f t="shared" si="11"/>
        <v>105</v>
      </c>
      <c r="K64">
        <f t="shared" si="12"/>
        <v>105</v>
      </c>
      <c r="L64">
        <f t="shared" si="13"/>
        <v>90</v>
      </c>
    </row>
    <row r="65" spans="1:12" x14ac:dyDescent="0.35">
      <c r="A65">
        <v>36</v>
      </c>
      <c r="B65">
        <v>8</v>
      </c>
      <c r="C65">
        <v>7</v>
      </c>
      <c r="D65">
        <f t="shared" si="7"/>
        <v>1</v>
      </c>
      <c r="E65">
        <v>1</v>
      </c>
      <c r="F65">
        <f t="shared" si="8"/>
        <v>0</v>
      </c>
      <c r="G65">
        <f>ROUND($O$2*POWER($O$3,A65-1),0)</f>
        <v>96</v>
      </c>
      <c r="H65">
        <f t="shared" si="9"/>
        <v>0</v>
      </c>
      <c r="I65">
        <f t="shared" si="10"/>
        <v>15</v>
      </c>
      <c r="J65">
        <f t="shared" si="11"/>
        <v>111</v>
      </c>
      <c r="K65">
        <f t="shared" si="12"/>
        <v>111</v>
      </c>
      <c r="L65">
        <f t="shared" si="13"/>
        <v>96</v>
      </c>
    </row>
    <row r="66" spans="1:12" x14ac:dyDescent="0.35">
      <c r="A66">
        <v>37</v>
      </c>
      <c r="B66">
        <v>6</v>
      </c>
      <c r="C66">
        <v>5</v>
      </c>
      <c r="D66">
        <f t="shared" si="7"/>
        <v>1</v>
      </c>
      <c r="E66">
        <v>1</v>
      </c>
      <c r="F66">
        <f t="shared" si="8"/>
        <v>0</v>
      </c>
      <c r="G66">
        <f>ROUND($O$2*POWER($O$3,A66-1),0)</f>
        <v>103</v>
      </c>
      <c r="H66">
        <f t="shared" si="9"/>
        <v>0</v>
      </c>
      <c r="I66">
        <f t="shared" si="10"/>
        <v>15</v>
      </c>
      <c r="J66">
        <f t="shared" si="11"/>
        <v>118</v>
      </c>
      <c r="K66">
        <f t="shared" si="12"/>
        <v>118</v>
      </c>
      <c r="L66">
        <f t="shared" si="13"/>
        <v>103</v>
      </c>
    </row>
    <row r="67" spans="1:12" x14ac:dyDescent="0.35">
      <c r="A67">
        <v>38</v>
      </c>
      <c r="B67">
        <v>6</v>
      </c>
      <c r="C67">
        <v>5</v>
      </c>
      <c r="D67">
        <f t="shared" si="7"/>
        <v>1</v>
      </c>
      <c r="E67">
        <v>1</v>
      </c>
      <c r="F67">
        <f t="shared" si="8"/>
        <v>0</v>
      </c>
      <c r="G67">
        <f>ROUND($O$2*POWER($O$3,A67-1),0)</f>
        <v>110</v>
      </c>
      <c r="H67">
        <f t="shared" si="9"/>
        <v>0</v>
      </c>
      <c r="I67">
        <f t="shared" si="10"/>
        <v>15</v>
      </c>
      <c r="J67">
        <f t="shared" si="11"/>
        <v>125</v>
      </c>
      <c r="K67">
        <f t="shared" si="12"/>
        <v>125</v>
      </c>
      <c r="L67">
        <f t="shared" si="13"/>
        <v>110</v>
      </c>
    </row>
    <row r="68" spans="1:12" x14ac:dyDescent="0.35">
      <c r="A68">
        <v>39</v>
      </c>
      <c r="B68">
        <v>8</v>
      </c>
      <c r="C68">
        <v>7</v>
      </c>
      <c r="D68">
        <f t="shared" si="7"/>
        <v>1</v>
      </c>
      <c r="E68">
        <v>1</v>
      </c>
      <c r="F68">
        <f t="shared" si="8"/>
        <v>0</v>
      </c>
      <c r="G68">
        <f>ROUND($O$2*POWER($O$3,A68-1),0)</f>
        <v>118</v>
      </c>
      <c r="H68">
        <f t="shared" si="9"/>
        <v>0</v>
      </c>
      <c r="I68">
        <f t="shared" si="10"/>
        <v>15</v>
      </c>
      <c r="J68">
        <f t="shared" si="11"/>
        <v>133</v>
      </c>
      <c r="K68">
        <f t="shared" si="12"/>
        <v>133</v>
      </c>
      <c r="L68">
        <f t="shared" si="13"/>
        <v>118</v>
      </c>
    </row>
    <row r="69" spans="1:12" x14ac:dyDescent="0.35">
      <c r="A69">
        <v>40</v>
      </c>
      <c r="B69">
        <v>7</v>
      </c>
      <c r="C69">
        <v>6</v>
      </c>
      <c r="D69">
        <f t="shared" si="7"/>
        <v>1</v>
      </c>
      <c r="E69">
        <v>1</v>
      </c>
      <c r="F69">
        <f t="shared" si="8"/>
        <v>1</v>
      </c>
      <c r="G69">
        <f>ROUND($O$2*POWER($O$3,A69-1),0)</f>
        <v>126</v>
      </c>
      <c r="H69">
        <f t="shared" si="9"/>
        <v>0</v>
      </c>
      <c r="I69">
        <f t="shared" si="10"/>
        <v>15</v>
      </c>
      <c r="J69">
        <f t="shared" si="11"/>
        <v>141</v>
      </c>
      <c r="K69">
        <f t="shared" si="12"/>
        <v>282</v>
      </c>
      <c r="L69">
        <f t="shared" si="13"/>
        <v>252</v>
      </c>
    </row>
    <row r="70" spans="1:12" x14ac:dyDescent="0.35">
      <c r="A70">
        <v>41</v>
      </c>
      <c r="B70">
        <v>8</v>
      </c>
      <c r="C70">
        <v>7</v>
      </c>
      <c r="D70">
        <f t="shared" si="7"/>
        <v>1</v>
      </c>
      <c r="E70">
        <v>1</v>
      </c>
      <c r="F70">
        <f t="shared" si="8"/>
        <v>0</v>
      </c>
      <c r="G70">
        <f>ROUND($O$2*POWER($O$3,A70-1),0)</f>
        <v>135</v>
      </c>
      <c r="H70">
        <f t="shared" si="9"/>
        <v>0</v>
      </c>
      <c r="I70">
        <f t="shared" si="10"/>
        <v>15</v>
      </c>
      <c r="J70">
        <f t="shared" si="11"/>
        <v>150</v>
      </c>
      <c r="K70">
        <f t="shared" si="12"/>
        <v>150</v>
      </c>
      <c r="L70">
        <f t="shared" si="13"/>
        <v>135</v>
      </c>
    </row>
    <row r="71" spans="1:12" x14ac:dyDescent="0.35">
      <c r="A71">
        <v>42</v>
      </c>
      <c r="B71">
        <v>6</v>
      </c>
      <c r="C71">
        <v>5</v>
      </c>
      <c r="D71">
        <f t="shared" si="7"/>
        <v>1</v>
      </c>
      <c r="E71">
        <v>1</v>
      </c>
      <c r="F71">
        <f t="shared" si="8"/>
        <v>0</v>
      </c>
      <c r="G71">
        <f>ROUND($O$2*POWER($O$3,A71-1),0)</f>
        <v>144</v>
      </c>
      <c r="H71">
        <f t="shared" si="9"/>
        <v>0</v>
      </c>
      <c r="I71">
        <f t="shared" si="10"/>
        <v>15</v>
      </c>
      <c r="J71">
        <f t="shared" si="11"/>
        <v>159</v>
      </c>
      <c r="K71">
        <f t="shared" si="12"/>
        <v>159</v>
      </c>
      <c r="L71">
        <f t="shared" si="13"/>
        <v>144</v>
      </c>
    </row>
    <row r="72" spans="1:12" x14ac:dyDescent="0.35">
      <c r="A72">
        <v>43</v>
      </c>
      <c r="B72">
        <v>9</v>
      </c>
      <c r="C72">
        <v>9</v>
      </c>
      <c r="D72">
        <f t="shared" si="7"/>
        <v>0</v>
      </c>
      <c r="E72">
        <v>1</v>
      </c>
      <c r="F72">
        <f t="shared" si="8"/>
        <v>0</v>
      </c>
      <c r="G72">
        <f>ROUND($O$2*POWER($O$3,A72-1),0)</f>
        <v>154</v>
      </c>
      <c r="H72">
        <f t="shared" si="9"/>
        <v>0</v>
      </c>
      <c r="I72">
        <f t="shared" si="10"/>
        <v>15</v>
      </c>
      <c r="J72">
        <f t="shared" si="11"/>
        <v>169</v>
      </c>
      <c r="K72">
        <f t="shared" si="12"/>
        <v>169</v>
      </c>
      <c r="L72">
        <f t="shared" si="13"/>
        <v>154</v>
      </c>
    </row>
    <row r="73" spans="1:12" x14ac:dyDescent="0.35">
      <c r="A73">
        <v>44</v>
      </c>
      <c r="B73">
        <v>9</v>
      </c>
      <c r="C73">
        <v>8</v>
      </c>
      <c r="D73">
        <f t="shared" si="7"/>
        <v>1</v>
      </c>
      <c r="E73">
        <v>1</v>
      </c>
      <c r="F73">
        <f t="shared" si="8"/>
        <v>0</v>
      </c>
      <c r="G73">
        <f>ROUND($O$2*POWER($O$3,A73-1),0)</f>
        <v>165</v>
      </c>
      <c r="H73">
        <f t="shared" si="9"/>
        <v>0</v>
      </c>
      <c r="I73">
        <f t="shared" si="10"/>
        <v>15</v>
      </c>
      <c r="J73">
        <f t="shared" si="11"/>
        <v>180</v>
      </c>
      <c r="K73">
        <f t="shared" si="12"/>
        <v>180</v>
      </c>
      <c r="L73">
        <f t="shared" si="13"/>
        <v>165</v>
      </c>
    </row>
    <row r="74" spans="1:12" x14ac:dyDescent="0.35">
      <c r="A74">
        <v>45</v>
      </c>
      <c r="B74">
        <v>8</v>
      </c>
      <c r="C74">
        <v>7</v>
      </c>
      <c r="D74">
        <f t="shared" si="7"/>
        <v>1</v>
      </c>
      <c r="E74">
        <v>1</v>
      </c>
      <c r="F74">
        <f t="shared" si="8"/>
        <v>0</v>
      </c>
      <c r="G74">
        <f>ROUND($O$2*POWER($O$3,A74-1),0)</f>
        <v>177</v>
      </c>
      <c r="H74">
        <f t="shared" si="9"/>
        <v>0</v>
      </c>
      <c r="I74">
        <f t="shared" si="10"/>
        <v>15</v>
      </c>
      <c r="J74">
        <f t="shared" si="11"/>
        <v>192</v>
      </c>
      <c r="K74">
        <f t="shared" si="12"/>
        <v>192</v>
      </c>
      <c r="L74">
        <f t="shared" si="13"/>
        <v>177</v>
      </c>
    </row>
    <row r="75" spans="1:12" x14ac:dyDescent="0.35">
      <c r="A75">
        <v>46</v>
      </c>
      <c r="B75">
        <v>2</v>
      </c>
      <c r="C75">
        <v>2</v>
      </c>
      <c r="D75">
        <f t="shared" si="7"/>
        <v>0</v>
      </c>
      <c r="E75">
        <v>1</v>
      </c>
      <c r="F75">
        <f t="shared" si="8"/>
        <v>0</v>
      </c>
      <c r="G75">
        <f>ROUND($O$2*POWER($O$3,A75-1),0)</f>
        <v>189</v>
      </c>
      <c r="H75">
        <f t="shared" si="9"/>
        <v>0</v>
      </c>
      <c r="I75">
        <f t="shared" si="10"/>
        <v>15</v>
      </c>
      <c r="J75">
        <f t="shared" si="11"/>
        <v>204</v>
      </c>
      <c r="K75">
        <f t="shared" si="12"/>
        <v>204</v>
      </c>
      <c r="L75">
        <f t="shared" si="13"/>
        <v>189</v>
      </c>
    </row>
    <row r="76" spans="1:12" x14ac:dyDescent="0.35">
      <c r="A76">
        <v>47</v>
      </c>
      <c r="B76">
        <v>8</v>
      </c>
      <c r="C76">
        <v>7</v>
      </c>
      <c r="D76">
        <f t="shared" si="7"/>
        <v>1</v>
      </c>
      <c r="E76">
        <v>1</v>
      </c>
      <c r="F76">
        <f t="shared" si="8"/>
        <v>0</v>
      </c>
      <c r="G76">
        <f>ROUND($O$2*POWER($O$3,A76-1),0)</f>
        <v>202</v>
      </c>
      <c r="H76">
        <f t="shared" si="9"/>
        <v>0</v>
      </c>
      <c r="I76">
        <f t="shared" si="10"/>
        <v>15</v>
      </c>
      <c r="J76">
        <f t="shared" si="11"/>
        <v>217</v>
      </c>
      <c r="K76">
        <f t="shared" si="12"/>
        <v>217</v>
      </c>
      <c r="L76">
        <f t="shared" si="13"/>
        <v>202</v>
      </c>
    </row>
    <row r="77" spans="1:12" x14ac:dyDescent="0.35">
      <c r="A77">
        <v>48</v>
      </c>
      <c r="B77">
        <v>7</v>
      </c>
      <c r="C77">
        <v>7</v>
      </c>
      <c r="D77">
        <f t="shared" si="7"/>
        <v>0</v>
      </c>
      <c r="E77">
        <v>1</v>
      </c>
      <c r="F77">
        <f t="shared" si="8"/>
        <v>0</v>
      </c>
      <c r="G77">
        <f>ROUND($O$2*POWER($O$3,A77-1),0)</f>
        <v>216</v>
      </c>
      <c r="H77">
        <f t="shared" si="9"/>
        <v>0</v>
      </c>
      <c r="I77">
        <f t="shared" si="10"/>
        <v>15</v>
      </c>
      <c r="J77">
        <f t="shared" si="11"/>
        <v>231</v>
      </c>
      <c r="K77">
        <f t="shared" si="12"/>
        <v>231</v>
      </c>
      <c r="L77">
        <f t="shared" si="13"/>
        <v>216</v>
      </c>
    </row>
    <row r="78" spans="1:12" x14ac:dyDescent="0.35">
      <c r="A78">
        <v>49</v>
      </c>
      <c r="B78">
        <v>9</v>
      </c>
      <c r="C78">
        <v>8</v>
      </c>
      <c r="D78">
        <f t="shared" si="7"/>
        <v>1</v>
      </c>
      <c r="E78">
        <v>1</v>
      </c>
      <c r="F78">
        <f t="shared" si="8"/>
        <v>0</v>
      </c>
      <c r="G78">
        <f>ROUND($O$2*POWER($O$3,A78-1),0)</f>
        <v>232</v>
      </c>
      <c r="H78">
        <f t="shared" si="9"/>
        <v>0</v>
      </c>
      <c r="I78">
        <f t="shared" si="10"/>
        <v>15</v>
      </c>
      <c r="J78">
        <f t="shared" si="11"/>
        <v>247</v>
      </c>
      <c r="K78">
        <f t="shared" si="12"/>
        <v>247</v>
      </c>
      <c r="L78">
        <f t="shared" si="13"/>
        <v>232</v>
      </c>
    </row>
    <row r="79" spans="1:12" x14ac:dyDescent="0.35">
      <c r="A79">
        <v>50</v>
      </c>
      <c r="B79">
        <v>8</v>
      </c>
      <c r="C79">
        <v>8</v>
      </c>
      <c r="D79">
        <f t="shared" si="7"/>
        <v>0</v>
      </c>
      <c r="E79">
        <v>1</v>
      </c>
      <c r="F79">
        <f t="shared" si="8"/>
        <v>1</v>
      </c>
      <c r="G79">
        <f>ROUND($O$2*POWER($O$3,A79-1),0)</f>
        <v>248</v>
      </c>
      <c r="H79">
        <f t="shared" si="9"/>
        <v>0</v>
      </c>
      <c r="I79">
        <f t="shared" si="10"/>
        <v>15</v>
      </c>
      <c r="J79">
        <f t="shared" si="11"/>
        <v>263</v>
      </c>
      <c r="K79">
        <f t="shared" si="12"/>
        <v>526</v>
      </c>
      <c r="L79">
        <f t="shared" si="13"/>
        <v>496</v>
      </c>
    </row>
    <row r="80" spans="1:12" x14ac:dyDescent="0.35">
      <c r="A80" s="6" t="s">
        <v>58</v>
      </c>
      <c r="K80" s="12">
        <f>SUM(K30:K79)</f>
        <v>4959</v>
      </c>
      <c r="L80" s="12">
        <f>SUM(L30:L79)</f>
        <v>4149</v>
      </c>
    </row>
    <row r="81" spans="1:12" x14ac:dyDescent="0.35">
      <c r="A81" t="s">
        <v>54</v>
      </c>
      <c r="L81" s="12">
        <f>SUM(L30:L59)</f>
        <v>966</v>
      </c>
    </row>
  </sheetData>
  <autoFilter ref="A29:L79" xr:uid="{00000000-0009-0000-0000-000000000000}"/>
  <mergeCells count="2">
    <mergeCell ref="A1:L1"/>
    <mergeCell ref="N45:P45"/>
  </mergeCells>
  <conditionalFormatting sqref="P10:P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0:L7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5" verticalDpi="429496729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00000000-000E-0000-0000-000003000000}">
            <xm:f>NOT(ISERROR(SEARCH("PASS",P43)))</xm:f>
            <x14:dxf>
              <font>
                <b/>
                <color rgb="FF006100"/>
              </font>
              <fill>
                <patternFill patternType="solid">
                  <bgColor rgb="FFC6EFCE"/>
                </patternFill>
              </fill>
            </x14:dxf>
          </x14:cfRule>
          <x14:cfRule type="containsText" priority="4" operator="containsText" id="{00000000-000E-0000-0000-000004000000}">
            <xm:f>NOT(ISERROR(SEARCH("FAIL",P43)))</xm:f>
            <x14:dxf>
              <font>
                <b/>
                <color rgb="FF9C0006"/>
              </font>
              <fill>
                <patternFill patternType="solid">
                  <bgColor rgb="FFFFC7CE"/>
                </patternFill>
              </fill>
            </x14:dxf>
          </x14:cfRule>
          <xm:sqref>P43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 &amp; Sink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2026-09-11T15:19:26Z</dcterms:created>
  <dcterms:modified xsi:type="dcterms:W3CDTF">2026-09-13T11:00:42Z</dcterms:modified>
  <cp:category/>
</cp:coreProperties>
</file>