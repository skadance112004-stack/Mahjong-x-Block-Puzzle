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guồn thu (Source)" state="visible" r:id="rId4"/>
    <sheet sheetId="2" name="Tiêu (Sink)" state="visible" r:id="rId5"/>
    <sheet sheetId="3" name="Cân bằng (Balance)" state="visible" r:id="rId6"/>
  </sheets>
  <calcPr calcId="171027"/>
</workbook>
</file>

<file path=xl/sharedStrings.xml><?xml version="1.0" encoding="utf-8"?>
<sst xmlns="http://schemas.openxmlformats.org/spreadsheetml/2006/main" count="97" uniqueCount="92">
  <si>
    <t>THAM SỐ CÔNG THỨC — đổi số ở đây, cả bảng bên dưới tự tính lại</t>
  </si>
  <si>
    <t>Hệ số (base)</t>
  </si>
  <si>
    <t>Công thức sàn: round(Hệ số × ln(Màn + Offset))</t>
  </si>
  <si>
    <t>Offset (+n trong ln(màn+n))</t>
  </si>
  <si>
    <t>Bonus / lượt dư</t>
  </si>
  <si>
    <t>Bonus không dùng booster</t>
  </si>
  <si>
    <t>Hệ số nhân màn chốt chương</t>
  </si>
  <si>
    <t>Màn</t>
  </si>
  <si>
    <t>Move Limit</t>
  </si>
  <si>
    <t>Nước lời giải</t>
  </si>
  <si>
    <t>Lượt dư</t>
  </si>
  <si>
    <t>Có Booster?</t>
  </si>
  <si>
    <t>Màn chốt chương?</t>
  </si>
  <si>
    <t>Sàn (log)</t>
  </si>
  <si>
    <t>Bonus lượt dư</t>
  </si>
  <si>
    <t>Bonus booster</t>
  </si>
  <si>
    <t>Tổng trước nhân</t>
  </si>
  <si>
    <t>Xu — tối ưu</t>
  </si>
  <si>
    <t>Xu — tệ nhất</t>
  </si>
  <si>
    <t>TỔNG</t>
  </si>
  <si>
    <t>Tệ nhất — cộng dồn tới màn 30</t>
  </si>
  <si>
    <t>BỘ QUÂN (Tile skins)</t>
  </si>
  <si>
    <t>BÀN CỜ (Board skins)</t>
  </si>
  <si>
    <t>ID</t>
  </si>
  <si>
    <t>Tên</t>
  </si>
  <si>
    <t>Giá (Xu)</t>
  </si>
  <si>
    <t>ivory</t>
  </si>
  <si>
    <t>Ngà nguyên bản</t>
  </si>
  <si>
    <t>wood</t>
  </si>
  <si>
    <t>Gỗ nguyên bản</t>
  </si>
  <si>
    <t>jade</t>
  </si>
  <si>
    <t>Ngọc bích</t>
  </si>
  <si>
    <t>bamboo</t>
  </si>
  <si>
    <t>Tre trúc</t>
  </si>
  <si>
    <t>ink</t>
  </si>
  <si>
    <t>Mực đen</t>
  </si>
  <si>
    <t>stone</t>
  </si>
  <si>
    <t>Đá xanh</t>
  </si>
  <si>
    <t>amber</t>
  </si>
  <si>
    <t>Hổ phách</t>
  </si>
  <si>
    <t>jade-palace</t>
  </si>
  <si>
    <t>Ngọc Bích Hoàng Cung</t>
  </si>
  <si>
    <t>zodiac</t>
  </si>
  <si>
    <t>Thập Nhị Chi</t>
  </si>
  <si>
    <t>lacquer</t>
  </si>
  <si>
    <t>Sơn Mài Đỏ</t>
  </si>
  <si>
    <t>animal</t>
  </si>
  <si>
    <t>Muông Thú</t>
  </si>
  <si>
    <t>rice-paper</t>
  </si>
  <si>
    <t>Giấy Hoa Tiên</t>
  </si>
  <si>
    <t>fruit</t>
  </si>
  <si>
    <t>Tứ Quý Trái Cây</t>
  </si>
  <si>
    <t>porcelain</t>
  </si>
  <si>
    <t>Sứ Men Lam</t>
  </si>
  <si>
    <t>cards</t>
  </si>
  <si>
    <t>Bài Tây</t>
  </si>
  <si>
    <t>cherry</t>
  </si>
  <si>
    <t>Vườn Anh Đào</t>
  </si>
  <si>
    <t>lotus</t>
  </si>
  <si>
    <t>Hoa Sen</t>
  </si>
  <si>
    <t>dragon-hall</t>
  </si>
  <si>
    <t>Điện Rồng Vàng</t>
  </si>
  <si>
    <t>ocean</t>
  </si>
  <si>
    <t>Biển Cả</t>
  </si>
  <si>
    <t>moonlight</t>
  </si>
  <si>
    <t>Ánh Trăng Đêm</t>
  </si>
  <si>
    <t>treasure</t>
  </si>
  <si>
    <t>Trân Bảo</t>
  </si>
  <si>
    <t>tea-house</t>
  </si>
  <si>
    <t>Trà Quán</t>
  </si>
  <si>
    <t>season</t>
  </si>
  <si>
    <t>Tứ Thời</t>
  </si>
  <si>
    <t>Tổng nếu mua hết</t>
  </si>
  <si>
    <t>GÓI BOOSTER (kho dùng chung, không reset qua màn)</t>
  </si>
  <si>
    <t>Số lượt / gói</t>
  </si>
  <si>
    <t>Giá / gói (Xu)</t>
  </si>
  <si>
    <t>Xu / 1 lượt dùng</t>
  </si>
  <si>
    <t>Lượt khởi điểm mỗi loại (Đổi khối/Hint)</t>
  </si>
  <si>
    <t>Tổng Xu tối ưu — 50 màn</t>
  </si>
  <si>
    <t>Người chơi giải mọi màn tối ưu, không phí lượt</t>
  </si>
  <si>
    <t>Tổng Xu tệ nhất — 50 màn</t>
  </si>
  <si>
    <t>Luôn dùng hết booster, 0 lượt dư mỗi màn</t>
  </si>
  <si>
    <t>Mốc đối chiếu với skin rẻ nhất</t>
  </si>
  <si>
    <t>Giá skin rẻ nhất (quân + bàn)</t>
  </si>
  <si>
    <t>Bỏ qua món giá 0 (mặc định)</t>
  </si>
  <si>
    <t>Kiểm tra: đủ mua skin rẻ nhất ở màn 30?</t>
  </si>
  <si>
    <t/>
  </si>
  <si>
    <t>Tổng chi phí sở hữu hết catalogue</t>
  </si>
  <si>
    <t>12 skin quân + 11 skin bàn</t>
  </si>
  <si>
    <t>Xu / 1 lượt booster</t>
  </si>
  <si>
    <t>Gói 5 lượt giá 100 Xu</t>
  </si>
  <si>
    <t>Đổi số ở sheet "Nguồn thu" (hệ số/offset) hoặc giá ở "Tiêu" — mọi ô ở đây tự tính lại, kể cả dòng PASS/FAIL.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</si>
</sst>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color theme="1"/>
      <family val="2"/>
      <scheme val="minor"/>
      <sz val="11"/>
      <name val="Calibri"/>
    </font>
    <font>
      <b/>
      <color rgb="FF8A5A13"/>
      <sz val="13"/>
    </font>
    <font>
      <b/>
    </font>
    <font>
      <i/>
      <color rgb="FF6B5C46"/>
    </font>
    <font>
      <b/>
      <color rgb="FFFFFFFF"/>
    </font>
    <font>
      <b/>
      <color rgb="FF8A5A13"/>
    </font>
    <font>
      <b/>
      <color rgb="FF8A5A13"/>
      <sz val="14"/>
    </font>
    <font>
      <b/>
      <sz val="16"/>
    </font>
    <font>
      <i/>
      <color rgb="FF6B5C46"/>
      <sz val="11"/>
    </font>
  </fonts>
  <fills count="4">
    <fill>
      <patternFill patternType="none"/>
    </fill>
    <fill>
      <patternFill patternType="gray125"/>
    </fill>
    <fill>
      <patternFill patternType="solid">
        <fgColor rgb="FFFCEFD0"/>
      </patternFill>
    </fill>
    <fill>
      <patternFill patternType="solid">
        <fgColor rgb="FF3D2A2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4" fillId="3" borderId="0" xfId="0" applyFont="1" applyFill="1" applyAlignment="1">
      <alignment vertical="center"/>
    </xf>
    <xf numFmtId="0" fontId="2" fillId="0" borderId="0" xfId="0" applyFont="1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64" fontId="0" fillId="0" borderId="0" xfId="0" applyNumberFormat="1"/>
    <xf numFmtId="3" fontId="6" fillId="0" borderId="0" xfId="0" applyNumberFormat="1" applyFont="1"/>
    <xf numFmtId="3" fontId="7" fillId="0" borderId="0" xfId="0" applyNumberFormat="1" applyFont="1"/>
    <xf numFmtId="0" fontId="8" fillId="0" borderId="0" xfId="0" applyFont="1"/>
  </cellXfs>
  <cellStyles count="1">
    <cellStyle name="Normal" xfId="0" builtinId="0"/>
  </cellStyles>
  <dxfs count="2"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1"/>
  <sheetViews>
    <sheetView workbookViewId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1" customWidth="1"/>
    <col min="3" max="3" width="12" customWidth="1"/>
    <col min="5" max="5" width="10" customWidth="1"/>
    <col min="6" max="6" width="13" customWidth="1"/>
    <col min="7" max="7" width="11" customWidth="1"/>
    <col min="8" max="9" width="13" customWidth="1"/>
    <col min="10" max="10" width="15" customWidth="1"/>
    <col min="11" max="12" width="13" customWidth="1"/>
  </cols>
  <sheetData>
    <row r="1" spans="1:4" x14ac:dyDescent="0.25">
      <c r="A1" s="1" t="s">
        <v>0</v>
      </c>
      <c r="B1" s="1"/>
      <c r="C1" s="1"/>
      <c r="D1" s="1"/>
    </row>
    <row r="2" spans="1:6" x14ac:dyDescent="0.25">
      <c r="A2" t="s">
        <v>1</v>
      </c>
      <c r="B2" s="2">
        <v>10</v>
      </c>
      <c r="C2" s="3" t="s">
        <v>2</v>
      </c>
      <c r="D2" s="3"/>
      <c r="E2" s="3"/>
      <c r="F2" s="3"/>
    </row>
    <row r="3" spans="1:2" x14ac:dyDescent="0.25">
      <c r="A3" t="s">
        <v>3</v>
      </c>
      <c r="B3" s="2">
        <v>2</v>
      </c>
    </row>
    <row r="4" spans="1:2" x14ac:dyDescent="0.25">
      <c r="A4" t="s">
        <v>4</v>
      </c>
      <c r="B4" s="2">
        <v>2</v>
      </c>
    </row>
    <row r="5" spans="1:2" x14ac:dyDescent="0.25">
      <c r="A5" t="s">
        <v>5</v>
      </c>
      <c r="B5" s="2">
        <v>15</v>
      </c>
    </row>
    <row r="6" spans="1:2" x14ac:dyDescent="0.25">
      <c r="A6" t="s">
        <v>6</v>
      </c>
      <c r="B6" s="2">
        <v>2</v>
      </c>
    </row>
    <row r="9" spans="1:12" s="4" customFormat="1" x14ac:dyDescent="0.25">
      <c r="A9" s="4" t="s">
        <v>7</v>
      </c>
      <c r="B9" s="4" t="s">
        <v>8</v>
      </c>
      <c r="C9" s="4" t="s">
        <v>9</v>
      </c>
      <c r="D9" s="4" t="s">
        <v>10</v>
      </c>
      <c r="E9" s="4" t="s">
        <v>11</v>
      </c>
      <c r="F9" s="4" t="s">
        <v>12</v>
      </c>
      <c r="G9" s="4" t="s">
        <v>13</v>
      </c>
      <c r="H9" s="4" t="s">
        <v>14</v>
      </c>
      <c r="I9" s="4" t="s">
        <v>15</v>
      </c>
      <c r="J9" s="4" t="s">
        <v>16</v>
      </c>
      <c r="K9" s="4" t="s">
        <v>17</v>
      </c>
      <c r="L9" s="4" t="s">
        <v>18</v>
      </c>
    </row>
    <row r="10" spans="1:12" x14ac:dyDescent="0.25">
      <c r="A10">
        <v>1</v>
      </c>
      <c r="B10">
        <v>4</v>
      </c>
      <c r="C10">
        <v>2</v>
      </c>
      <c r="D10">
        <f>MAX(0,B10-C10)</f>
      </c>
      <c r="E10">
        <v>0</v>
      </c>
      <c r="F10">
        <f>IF(MOD(A10,10)=0,1,0)</f>
      </c>
      <c r="G10">
        <f>ROUND($B$2*LN(A10+$B$3),0)</f>
      </c>
      <c r="H10">
        <f>D10*$B$4</f>
      </c>
      <c r="I10">
        <f>IF(E10=1,$B$5,0)</f>
      </c>
      <c r="J10">
        <f>G10+H10+I10</f>
      </c>
      <c r="K10">
        <f>IF(F10=1,J10*$B$6,J10)</f>
      </c>
      <c r="L10">
        <f>IF(F10=1,G10*$B$6,G10)</f>
      </c>
    </row>
    <row r="11" spans="1:12" x14ac:dyDescent="0.25">
      <c r="A11">
        <v>2</v>
      </c>
      <c r="B11">
        <v>6</v>
      </c>
      <c r="C11">
        <v>4</v>
      </c>
      <c r="D11">
        <f>MAX(0,B11-C11)</f>
      </c>
      <c r="E11">
        <v>1</v>
      </c>
      <c r="F11">
        <f>IF(MOD(A11,10)=0,1,0)</f>
      </c>
      <c r="G11">
        <f>ROUND($B$2*LN(A11+$B$3),0)</f>
      </c>
      <c r="H11">
        <f>D11*$B$4</f>
      </c>
      <c r="I11">
        <f>IF(E11=1,$B$5,0)</f>
      </c>
      <c r="J11">
        <f>G11+H11+I11</f>
      </c>
      <c r="K11">
        <f>IF(F11=1,J11*$B$6,J11)</f>
      </c>
      <c r="L11">
        <f>IF(F11=1,G11*$B$6,G11)</f>
      </c>
    </row>
    <row r="12" spans="1:12" x14ac:dyDescent="0.25">
      <c r="A12">
        <v>3</v>
      </c>
      <c r="B12">
        <v>7</v>
      </c>
      <c r="C12">
        <v>5</v>
      </c>
      <c r="D12">
        <f>MAX(0,B12-C12)</f>
      </c>
      <c r="E12">
        <v>1</v>
      </c>
      <c r="F12">
        <f>IF(MOD(A12,10)=0,1,0)</f>
      </c>
      <c r="G12">
        <f>ROUND($B$2*LN(A12+$B$3),0)</f>
      </c>
      <c r="H12">
        <f>D12*$B$4</f>
      </c>
      <c r="I12">
        <f>IF(E12=1,$B$5,0)</f>
      </c>
      <c r="J12">
        <f>G12+H12+I12</f>
      </c>
      <c r="K12">
        <f>IF(F12=1,J12*$B$6,J12)</f>
      </c>
      <c r="L12">
        <f>IF(F12=1,G12*$B$6,G12)</f>
      </c>
    </row>
    <row r="13" spans="1:12" x14ac:dyDescent="0.25">
      <c r="A13">
        <v>4</v>
      </c>
      <c r="B13">
        <v>7</v>
      </c>
      <c r="C13">
        <v>5</v>
      </c>
      <c r="D13">
        <f>MAX(0,B13-C13)</f>
      </c>
      <c r="E13">
        <v>1</v>
      </c>
      <c r="F13">
        <f>IF(MOD(A13,10)=0,1,0)</f>
      </c>
      <c r="G13">
        <f>ROUND($B$2*LN(A13+$B$3),0)</f>
      </c>
      <c r="H13">
        <f>D13*$B$4</f>
      </c>
      <c r="I13">
        <f>IF(E13=1,$B$5,0)</f>
      </c>
      <c r="J13">
        <f>G13+H13+I13</f>
      </c>
      <c r="K13">
        <f>IF(F13=1,J13*$B$6,J13)</f>
      </c>
      <c r="L13">
        <f>IF(F13=1,G13*$B$6,G13)</f>
      </c>
    </row>
    <row r="14" spans="1:12" x14ac:dyDescent="0.25">
      <c r="A14">
        <v>5</v>
      </c>
      <c r="B14">
        <v>6</v>
      </c>
      <c r="C14">
        <v>4</v>
      </c>
      <c r="D14">
        <f>MAX(0,B14-C14)</f>
      </c>
      <c r="E14">
        <v>1</v>
      </c>
      <c r="F14">
        <f>IF(MOD(A14,10)=0,1,0)</f>
      </c>
      <c r="G14">
        <f>ROUND($B$2*LN(A14+$B$3),0)</f>
      </c>
      <c r="H14">
        <f>D14*$B$4</f>
      </c>
      <c r="I14">
        <f>IF(E14=1,$B$5,0)</f>
      </c>
      <c r="J14">
        <f>G14+H14+I14</f>
      </c>
      <c r="K14">
        <f>IF(F14=1,J14*$B$6,J14)</f>
      </c>
      <c r="L14">
        <f>IF(F14=1,G14*$B$6,G14)</f>
      </c>
    </row>
    <row r="15" spans="1:12" x14ac:dyDescent="0.25">
      <c r="A15">
        <v>6</v>
      </c>
      <c r="B15">
        <v>7</v>
      </c>
      <c r="C15">
        <v>5</v>
      </c>
      <c r="D15">
        <f>MAX(0,B15-C15)</f>
      </c>
      <c r="E15">
        <v>1</v>
      </c>
      <c r="F15">
        <f>IF(MOD(A15,10)=0,1,0)</f>
      </c>
      <c r="G15">
        <f>ROUND($B$2*LN(A15+$B$3),0)</f>
      </c>
      <c r="H15">
        <f>D15*$B$4</f>
      </c>
      <c r="I15">
        <f>IF(E15=1,$B$5,0)</f>
      </c>
      <c r="J15">
        <f>G15+H15+I15</f>
      </c>
      <c r="K15">
        <f>IF(F15=1,J15*$B$6,J15)</f>
      </c>
      <c r="L15">
        <f>IF(F15=1,G15*$B$6,G15)</f>
      </c>
    </row>
    <row r="16" spans="1:12" x14ac:dyDescent="0.25">
      <c r="A16">
        <v>7</v>
      </c>
      <c r="B16">
        <v>8</v>
      </c>
      <c r="C16">
        <v>6</v>
      </c>
      <c r="D16">
        <f>MAX(0,B16-C16)</f>
      </c>
      <c r="E16">
        <v>1</v>
      </c>
      <c r="F16">
        <f>IF(MOD(A16,10)=0,1,0)</f>
      </c>
      <c r="G16">
        <f>ROUND($B$2*LN(A16+$B$3),0)</f>
      </c>
      <c r="H16">
        <f>D16*$B$4</f>
      </c>
      <c r="I16">
        <f>IF(E16=1,$B$5,0)</f>
      </c>
      <c r="J16">
        <f>G16+H16+I16</f>
      </c>
      <c r="K16">
        <f>IF(F16=1,J16*$B$6,J16)</f>
      </c>
      <c r="L16">
        <f>IF(F16=1,G16*$B$6,G16)</f>
      </c>
    </row>
    <row r="17" spans="1:12" x14ac:dyDescent="0.25">
      <c r="A17">
        <v>8</v>
      </c>
      <c r="B17">
        <v>5</v>
      </c>
      <c r="C17">
        <v>3</v>
      </c>
      <c r="D17">
        <f>MAX(0,B17-C17)</f>
      </c>
      <c r="E17">
        <v>1</v>
      </c>
      <c r="F17">
        <f>IF(MOD(A17,10)=0,1,0)</f>
      </c>
      <c r="G17">
        <f>ROUND($B$2*LN(A17+$B$3),0)</f>
      </c>
      <c r="H17">
        <f>D17*$B$4</f>
      </c>
      <c r="I17">
        <f>IF(E17=1,$B$5,0)</f>
      </c>
      <c r="J17">
        <f>G17+H17+I17</f>
      </c>
      <c r="K17">
        <f>IF(F17=1,J17*$B$6,J17)</f>
      </c>
      <c r="L17">
        <f>IF(F17=1,G17*$B$6,G17)</f>
      </c>
    </row>
    <row r="18" spans="1:12" x14ac:dyDescent="0.25">
      <c r="A18">
        <v>9</v>
      </c>
      <c r="B18">
        <v>7</v>
      </c>
      <c r="C18">
        <v>5</v>
      </c>
      <c r="D18">
        <f>MAX(0,B18-C18)</f>
      </c>
      <c r="E18">
        <v>1</v>
      </c>
      <c r="F18">
        <f>IF(MOD(A18,10)=0,1,0)</f>
      </c>
      <c r="G18">
        <f>ROUND($B$2*LN(A18+$B$3),0)</f>
      </c>
      <c r="H18">
        <f>D18*$B$4</f>
      </c>
      <c r="I18">
        <f>IF(E18=1,$B$5,0)</f>
      </c>
      <c r="J18">
        <f>G18+H18+I18</f>
      </c>
      <c r="K18">
        <f>IF(F18=1,J18*$B$6,J18)</f>
      </c>
      <c r="L18">
        <f>IF(F18=1,G18*$B$6,G18)</f>
      </c>
    </row>
    <row r="19" spans="1:12" x14ac:dyDescent="0.25">
      <c r="A19">
        <v>10</v>
      </c>
      <c r="B19">
        <v>9</v>
      </c>
      <c r="C19">
        <v>7</v>
      </c>
      <c r="D19">
        <f>MAX(0,B19-C19)</f>
      </c>
      <c r="E19">
        <v>1</v>
      </c>
      <c r="F19">
        <f>IF(MOD(A19,10)=0,1,0)</f>
      </c>
      <c r="G19">
        <f>ROUND($B$2*LN(A19+$B$3),0)</f>
      </c>
      <c r="H19">
        <f>D19*$B$4</f>
      </c>
      <c r="I19">
        <f>IF(E19=1,$B$5,0)</f>
      </c>
      <c r="J19">
        <f>G19+H19+I19</f>
      </c>
      <c r="K19">
        <f>IF(F19=1,J19*$B$6,J19)</f>
      </c>
      <c r="L19">
        <f>IF(F19=1,G19*$B$6,G19)</f>
      </c>
    </row>
    <row r="20" spans="1:12" x14ac:dyDescent="0.25">
      <c r="A20">
        <v>11</v>
      </c>
      <c r="B20">
        <v>7</v>
      </c>
      <c r="C20">
        <v>5</v>
      </c>
      <c r="D20">
        <f>MAX(0,B20-C20)</f>
      </c>
      <c r="E20">
        <v>1</v>
      </c>
      <c r="F20">
        <f>IF(MOD(A20,10)=0,1,0)</f>
      </c>
      <c r="G20">
        <f>ROUND($B$2*LN(A20+$B$3),0)</f>
      </c>
      <c r="H20">
        <f>D20*$B$4</f>
      </c>
      <c r="I20">
        <f>IF(E20=1,$B$5,0)</f>
      </c>
      <c r="J20">
        <f>G20+H20+I20</f>
      </c>
      <c r="K20">
        <f>IF(F20=1,J20*$B$6,J20)</f>
      </c>
      <c r="L20">
        <f>IF(F20=1,G20*$B$6,G20)</f>
      </c>
    </row>
    <row r="21" spans="1:12" x14ac:dyDescent="0.25">
      <c r="A21">
        <v>12</v>
      </c>
      <c r="B21">
        <v>7</v>
      </c>
      <c r="C21">
        <v>5</v>
      </c>
      <c r="D21">
        <f>MAX(0,B21-C21)</f>
      </c>
      <c r="E21">
        <v>1</v>
      </c>
      <c r="F21">
        <f>IF(MOD(A21,10)=0,1,0)</f>
      </c>
      <c r="G21">
        <f>ROUND($B$2*LN(A21+$B$3),0)</f>
      </c>
      <c r="H21">
        <f>D21*$B$4</f>
      </c>
      <c r="I21">
        <f>IF(E21=1,$B$5,0)</f>
      </c>
      <c r="J21">
        <f>G21+H21+I21</f>
      </c>
      <c r="K21">
        <f>IF(F21=1,J21*$B$6,J21)</f>
      </c>
      <c r="L21">
        <f>IF(F21=1,G21*$B$6,G21)</f>
      </c>
    </row>
    <row r="22" spans="1:12" x14ac:dyDescent="0.25">
      <c r="A22">
        <v>13</v>
      </c>
      <c r="B22">
        <v>8</v>
      </c>
      <c r="C22">
        <v>6</v>
      </c>
      <c r="D22">
        <f>MAX(0,B22-C22)</f>
      </c>
      <c r="E22">
        <v>1</v>
      </c>
      <c r="F22">
        <f>IF(MOD(A22,10)=0,1,0)</f>
      </c>
      <c r="G22">
        <f>ROUND($B$2*LN(A22+$B$3),0)</f>
      </c>
      <c r="H22">
        <f>D22*$B$4</f>
      </c>
      <c r="I22">
        <f>IF(E22=1,$B$5,0)</f>
      </c>
      <c r="J22">
        <f>G22+H22+I22</f>
      </c>
      <c r="K22">
        <f>IF(F22=1,J22*$B$6,J22)</f>
      </c>
      <c r="L22">
        <f>IF(F22=1,G22*$B$6,G22)</f>
      </c>
    </row>
    <row r="23" spans="1:12" x14ac:dyDescent="0.25">
      <c r="A23">
        <v>14</v>
      </c>
      <c r="B23">
        <v>8</v>
      </c>
      <c r="C23">
        <v>6</v>
      </c>
      <c r="D23">
        <f>MAX(0,B23-C23)</f>
      </c>
      <c r="E23">
        <v>1</v>
      </c>
      <c r="F23">
        <f>IF(MOD(A23,10)=0,1,0)</f>
      </c>
      <c r="G23">
        <f>ROUND($B$2*LN(A23+$B$3),0)</f>
      </c>
      <c r="H23">
        <f>D23*$B$4</f>
      </c>
      <c r="I23">
        <f>IF(E23=1,$B$5,0)</f>
      </c>
      <c r="J23">
        <f>G23+H23+I23</f>
      </c>
      <c r="K23">
        <f>IF(F23=1,J23*$B$6,J23)</f>
      </c>
      <c r="L23">
        <f>IF(F23=1,G23*$B$6,G23)</f>
      </c>
    </row>
    <row r="24" spans="1:12" x14ac:dyDescent="0.25">
      <c r="A24">
        <v>15</v>
      </c>
      <c r="B24">
        <v>7</v>
      </c>
      <c r="C24">
        <v>5</v>
      </c>
      <c r="D24">
        <f>MAX(0,B24-C24)</f>
      </c>
      <c r="E24">
        <v>1</v>
      </c>
      <c r="F24">
        <f>IF(MOD(A24,10)=0,1,0)</f>
      </c>
      <c r="G24">
        <f>ROUND($B$2*LN(A24+$B$3),0)</f>
      </c>
      <c r="H24">
        <f>D24*$B$4</f>
      </c>
      <c r="I24">
        <f>IF(E24=1,$B$5,0)</f>
      </c>
      <c r="J24">
        <f>G24+H24+I24</f>
      </c>
      <c r="K24">
        <f>IF(F24=1,J24*$B$6,J24)</f>
      </c>
      <c r="L24">
        <f>IF(F24=1,G24*$B$6,G24)</f>
      </c>
    </row>
    <row r="25" spans="1:12" x14ac:dyDescent="0.25">
      <c r="A25">
        <v>16</v>
      </c>
      <c r="B25">
        <v>8</v>
      </c>
      <c r="C25">
        <v>6</v>
      </c>
      <c r="D25">
        <f>MAX(0,B25-C25)</f>
      </c>
      <c r="E25">
        <v>1</v>
      </c>
      <c r="F25">
        <f>IF(MOD(A25,10)=0,1,0)</f>
      </c>
      <c r="G25">
        <f>ROUND($B$2*LN(A25+$B$3),0)</f>
      </c>
      <c r="H25">
        <f>D25*$B$4</f>
      </c>
      <c r="I25">
        <f>IF(E25=1,$B$5,0)</f>
      </c>
      <c r="J25">
        <f>G25+H25+I25</f>
      </c>
      <c r="K25">
        <f>IF(F25=1,J25*$B$6,J25)</f>
      </c>
      <c r="L25">
        <f>IF(F25=1,G25*$B$6,G25)</f>
      </c>
    </row>
    <row r="26" spans="1:12" x14ac:dyDescent="0.25">
      <c r="A26">
        <v>17</v>
      </c>
      <c r="B26">
        <v>8</v>
      </c>
      <c r="C26">
        <v>6</v>
      </c>
      <c r="D26">
        <f>MAX(0,B26-C26)</f>
      </c>
      <c r="E26">
        <v>1</v>
      </c>
      <c r="F26">
        <f>IF(MOD(A26,10)=0,1,0)</f>
      </c>
      <c r="G26">
        <f>ROUND($B$2*LN(A26+$B$3),0)</f>
      </c>
      <c r="H26">
        <f>D26*$B$4</f>
      </c>
      <c r="I26">
        <f>IF(E26=1,$B$5,0)</f>
      </c>
      <c r="J26">
        <f>G26+H26+I26</f>
      </c>
      <c r="K26">
        <f>IF(F26=1,J26*$B$6,J26)</f>
      </c>
      <c r="L26">
        <f>IF(F26=1,G26*$B$6,G26)</f>
      </c>
    </row>
    <row r="27" spans="1:12" x14ac:dyDescent="0.25">
      <c r="A27">
        <v>18</v>
      </c>
      <c r="B27">
        <v>9</v>
      </c>
      <c r="C27">
        <v>7</v>
      </c>
      <c r="D27">
        <f>MAX(0,B27-C27)</f>
      </c>
      <c r="E27">
        <v>1</v>
      </c>
      <c r="F27">
        <f>IF(MOD(A27,10)=0,1,0)</f>
      </c>
      <c r="G27">
        <f>ROUND($B$2*LN(A27+$B$3),0)</f>
      </c>
      <c r="H27">
        <f>D27*$B$4</f>
      </c>
      <c r="I27">
        <f>IF(E27=1,$B$5,0)</f>
      </c>
      <c r="J27">
        <f>G27+H27+I27</f>
      </c>
      <c r="K27">
        <f>IF(F27=1,J27*$B$6,J27)</f>
      </c>
      <c r="L27">
        <f>IF(F27=1,G27*$B$6,G27)</f>
      </c>
    </row>
    <row r="28" spans="1:12" x14ac:dyDescent="0.25">
      <c r="A28">
        <v>19</v>
      </c>
      <c r="B28">
        <v>8</v>
      </c>
      <c r="C28">
        <v>6</v>
      </c>
      <c r="D28">
        <f>MAX(0,B28-C28)</f>
      </c>
      <c r="E28">
        <v>1</v>
      </c>
      <c r="F28">
        <f>IF(MOD(A28,10)=0,1,0)</f>
      </c>
      <c r="G28">
        <f>ROUND($B$2*LN(A28+$B$3),0)</f>
      </c>
      <c r="H28">
        <f>D28*$B$4</f>
      </c>
      <c r="I28">
        <f>IF(E28=1,$B$5,0)</f>
      </c>
      <c r="J28">
        <f>G28+H28+I28</f>
      </c>
      <c r="K28">
        <f>IF(F28=1,J28*$B$6,J28)</f>
      </c>
      <c r="L28">
        <f>IF(F28=1,G28*$B$6,G28)</f>
      </c>
    </row>
    <row r="29" spans="1:12" x14ac:dyDescent="0.25">
      <c r="A29">
        <v>20</v>
      </c>
      <c r="B29">
        <v>9</v>
      </c>
      <c r="C29">
        <v>8</v>
      </c>
      <c r="D29">
        <f>MAX(0,B29-C29)</f>
      </c>
      <c r="E29">
        <v>1</v>
      </c>
      <c r="F29">
        <f>IF(MOD(A29,10)=0,1,0)</f>
      </c>
      <c r="G29">
        <f>ROUND($B$2*LN(A29+$B$3),0)</f>
      </c>
      <c r="H29">
        <f>D29*$B$4</f>
      </c>
      <c r="I29">
        <f>IF(E29=1,$B$5,0)</f>
      </c>
      <c r="J29">
        <f>G29+H29+I29</f>
      </c>
      <c r="K29">
        <f>IF(F29=1,J29*$B$6,J29)</f>
      </c>
      <c r="L29">
        <f>IF(F29=1,G29*$B$6,G29)</f>
      </c>
    </row>
    <row r="30" spans="1:12" x14ac:dyDescent="0.25">
      <c r="A30">
        <v>21</v>
      </c>
      <c r="B30">
        <v>9</v>
      </c>
      <c r="C30">
        <v>8</v>
      </c>
      <c r="D30">
        <f>MAX(0,B30-C30)</f>
      </c>
      <c r="E30">
        <v>1</v>
      </c>
      <c r="F30">
        <f>IF(MOD(A30,10)=0,1,0)</f>
      </c>
      <c r="G30">
        <f>ROUND($B$2*LN(A30+$B$3),0)</f>
      </c>
      <c r="H30">
        <f>D30*$B$4</f>
      </c>
      <c r="I30">
        <f>IF(E30=1,$B$5,0)</f>
      </c>
      <c r="J30">
        <f>G30+H30+I30</f>
      </c>
      <c r="K30">
        <f>IF(F30=1,J30*$B$6,J30)</f>
      </c>
      <c r="L30">
        <f>IF(F30=1,G30*$B$6,G30)</f>
      </c>
    </row>
    <row r="31" spans="1:12" x14ac:dyDescent="0.25">
      <c r="A31">
        <v>22</v>
      </c>
      <c r="B31">
        <v>7</v>
      </c>
      <c r="C31">
        <v>6</v>
      </c>
      <c r="D31">
        <f>MAX(0,B31-C31)</f>
      </c>
      <c r="E31">
        <v>1</v>
      </c>
      <c r="F31">
        <f>IF(MOD(A31,10)=0,1,0)</f>
      </c>
      <c r="G31">
        <f>ROUND($B$2*LN(A31+$B$3),0)</f>
      </c>
      <c r="H31">
        <f>D31*$B$4</f>
      </c>
      <c r="I31">
        <f>IF(E31=1,$B$5,0)</f>
      </c>
      <c r="J31">
        <f>G31+H31+I31</f>
      </c>
      <c r="K31">
        <f>IF(F31=1,J31*$B$6,J31)</f>
      </c>
      <c r="L31">
        <f>IF(F31=1,G31*$B$6,G31)</f>
      </c>
    </row>
    <row r="32" spans="1:12" x14ac:dyDescent="0.25">
      <c r="A32">
        <v>23</v>
      </c>
      <c r="B32">
        <v>8</v>
      </c>
      <c r="C32">
        <v>7</v>
      </c>
      <c r="D32">
        <f>MAX(0,B32-C32)</f>
      </c>
      <c r="E32">
        <v>1</v>
      </c>
      <c r="F32">
        <f>IF(MOD(A32,10)=0,1,0)</f>
      </c>
      <c r="G32">
        <f>ROUND($B$2*LN(A32+$B$3),0)</f>
      </c>
      <c r="H32">
        <f>D32*$B$4</f>
      </c>
      <c r="I32">
        <f>IF(E32=1,$B$5,0)</f>
      </c>
      <c r="J32">
        <f>G32+H32+I32</f>
      </c>
      <c r="K32">
        <f>IF(F32=1,J32*$B$6,J32)</f>
      </c>
      <c r="L32">
        <f>IF(F32=1,G32*$B$6,G32)</f>
      </c>
    </row>
    <row r="33" spans="1:12" x14ac:dyDescent="0.25">
      <c r="A33">
        <v>24</v>
      </c>
      <c r="B33">
        <v>7</v>
      </c>
      <c r="C33">
        <v>5</v>
      </c>
      <c r="D33">
        <f>MAX(0,B33-C33)</f>
      </c>
      <c r="E33">
        <v>1</v>
      </c>
      <c r="F33">
        <f>IF(MOD(A33,10)=0,1,0)</f>
      </c>
      <c r="G33">
        <f>ROUND($B$2*LN(A33+$B$3),0)</f>
      </c>
      <c r="H33">
        <f>D33*$B$4</f>
      </c>
      <c r="I33">
        <f>IF(E33=1,$B$5,0)</f>
      </c>
      <c r="J33">
        <f>G33+H33+I33</f>
      </c>
      <c r="K33">
        <f>IF(F33=1,J33*$B$6,J33)</f>
      </c>
      <c r="L33">
        <f>IF(F33=1,G33*$B$6,G33)</f>
      </c>
    </row>
    <row r="34" spans="1:12" x14ac:dyDescent="0.25">
      <c r="A34">
        <v>25</v>
      </c>
      <c r="B34">
        <v>6</v>
      </c>
      <c r="C34">
        <v>4</v>
      </c>
      <c r="D34">
        <f>MAX(0,B34-C34)</f>
      </c>
      <c r="E34">
        <v>1</v>
      </c>
      <c r="F34">
        <f>IF(MOD(A34,10)=0,1,0)</f>
      </c>
      <c r="G34">
        <f>ROUND($B$2*LN(A34+$B$3),0)</f>
      </c>
      <c r="H34">
        <f>D34*$B$4</f>
      </c>
      <c r="I34">
        <f>IF(E34=1,$B$5,0)</f>
      </c>
      <c r="J34">
        <f>G34+H34+I34</f>
      </c>
      <c r="K34">
        <f>IF(F34=1,J34*$B$6,J34)</f>
      </c>
      <c r="L34">
        <f>IF(F34=1,G34*$B$6,G34)</f>
      </c>
    </row>
    <row r="35" spans="1:12" x14ac:dyDescent="0.25">
      <c r="A35">
        <v>26</v>
      </c>
      <c r="B35">
        <v>10</v>
      </c>
      <c r="C35">
        <v>9</v>
      </c>
      <c r="D35">
        <f>MAX(0,B35-C35)</f>
      </c>
      <c r="E35">
        <v>1</v>
      </c>
      <c r="F35">
        <f>IF(MOD(A35,10)=0,1,0)</f>
      </c>
      <c r="G35">
        <f>ROUND($B$2*LN(A35+$B$3),0)</f>
      </c>
      <c r="H35">
        <f>D35*$B$4</f>
      </c>
      <c r="I35">
        <f>IF(E35=1,$B$5,0)</f>
      </c>
      <c r="J35">
        <f>G35+H35+I35</f>
      </c>
      <c r="K35">
        <f>IF(F35=1,J35*$B$6,J35)</f>
      </c>
      <c r="L35">
        <f>IF(F35=1,G35*$B$6,G35)</f>
      </c>
    </row>
    <row r="36" spans="1:12" x14ac:dyDescent="0.25">
      <c r="A36">
        <v>27</v>
      </c>
      <c r="B36">
        <v>8</v>
      </c>
      <c r="C36">
        <v>6</v>
      </c>
      <c r="D36">
        <f>MAX(0,B36-C36)</f>
      </c>
      <c r="E36">
        <v>1</v>
      </c>
      <c r="F36">
        <f>IF(MOD(A36,10)=0,1,0)</f>
      </c>
      <c r="G36">
        <f>ROUND($B$2*LN(A36+$B$3),0)</f>
      </c>
      <c r="H36">
        <f>D36*$B$4</f>
      </c>
      <c r="I36">
        <f>IF(E36=1,$B$5,0)</f>
      </c>
      <c r="J36">
        <f>G36+H36+I36</f>
      </c>
      <c r="K36">
        <f>IF(F36=1,J36*$B$6,J36)</f>
      </c>
      <c r="L36">
        <f>IF(F36=1,G36*$B$6,G36)</f>
      </c>
    </row>
    <row r="37" spans="1:12" x14ac:dyDescent="0.25">
      <c r="A37">
        <v>28</v>
      </c>
      <c r="B37">
        <v>8</v>
      </c>
      <c r="C37">
        <v>7</v>
      </c>
      <c r="D37">
        <f>MAX(0,B37-C37)</f>
      </c>
      <c r="E37">
        <v>1</v>
      </c>
      <c r="F37">
        <f>IF(MOD(A37,10)=0,1,0)</f>
      </c>
      <c r="G37">
        <f>ROUND($B$2*LN(A37+$B$3),0)</f>
      </c>
      <c r="H37">
        <f>D37*$B$4</f>
      </c>
      <c r="I37">
        <f>IF(E37=1,$B$5,0)</f>
      </c>
      <c r="J37">
        <f>G37+H37+I37</f>
      </c>
      <c r="K37">
        <f>IF(F37=1,J37*$B$6,J37)</f>
      </c>
      <c r="L37">
        <f>IF(F37=1,G37*$B$6,G37)</f>
      </c>
    </row>
    <row r="38" spans="1:12" x14ac:dyDescent="0.25">
      <c r="A38">
        <v>29</v>
      </c>
      <c r="B38">
        <v>10</v>
      </c>
      <c r="C38">
        <v>9</v>
      </c>
      <c r="D38">
        <f>MAX(0,B38-C38)</f>
      </c>
      <c r="E38">
        <v>1</v>
      </c>
      <c r="F38">
        <f>IF(MOD(A38,10)=0,1,0)</f>
      </c>
      <c r="G38">
        <f>ROUND($B$2*LN(A38+$B$3),0)</f>
      </c>
      <c r="H38">
        <f>D38*$B$4</f>
      </c>
      <c r="I38">
        <f>IF(E38=1,$B$5,0)</f>
      </c>
      <c r="J38">
        <f>G38+H38+I38</f>
      </c>
      <c r="K38">
        <f>IF(F38=1,J38*$B$6,J38)</f>
      </c>
      <c r="L38">
        <f>IF(F38=1,G38*$B$6,G38)</f>
      </c>
    </row>
    <row r="39" spans="1:12" x14ac:dyDescent="0.25">
      <c r="A39">
        <v>30</v>
      </c>
      <c r="B39">
        <v>11</v>
      </c>
      <c r="C39">
        <v>8</v>
      </c>
      <c r="D39">
        <f>MAX(0,B39-C39)</f>
      </c>
      <c r="E39">
        <v>1</v>
      </c>
      <c r="F39">
        <f>IF(MOD(A39,10)=0,1,0)</f>
      </c>
      <c r="G39">
        <f>ROUND($B$2*LN(A39+$B$3),0)</f>
      </c>
      <c r="H39">
        <f>D39*$B$4</f>
      </c>
      <c r="I39">
        <f>IF(E39=1,$B$5,0)</f>
      </c>
      <c r="J39">
        <f>G39+H39+I39</f>
      </c>
      <c r="K39">
        <f>IF(F39=1,J39*$B$6,J39)</f>
      </c>
      <c r="L39">
        <f>IF(F39=1,G39*$B$6,G39)</f>
      </c>
    </row>
    <row r="40" spans="1:12" x14ac:dyDescent="0.25">
      <c r="A40">
        <v>31</v>
      </c>
      <c r="B40">
        <v>8</v>
      </c>
      <c r="C40">
        <v>6</v>
      </c>
      <c r="D40">
        <f>MAX(0,B40-C40)</f>
      </c>
      <c r="E40">
        <v>1</v>
      </c>
      <c r="F40">
        <f>IF(MOD(A40,10)=0,1,0)</f>
      </c>
      <c r="G40">
        <f>ROUND($B$2*LN(A40+$B$3),0)</f>
      </c>
      <c r="H40">
        <f>D40*$B$4</f>
      </c>
      <c r="I40">
        <f>IF(E40=1,$B$5,0)</f>
      </c>
      <c r="J40">
        <f>G40+H40+I40</f>
      </c>
      <c r="K40">
        <f>IF(F40=1,J40*$B$6,J40)</f>
      </c>
      <c r="L40">
        <f>IF(F40=1,G40*$B$6,G40)</f>
      </c>
    </row>
    <row r="41" spans="1:12" x14ac:dyDescent="0.25">
      <c r="A41">
        <v>32</v>
      </c>
      <c r="B41">
        <v>8</v>
      </c>
      <c r="C41">
        <v>6</v>
      </c>
      <c r="D41">
        <f>MAX(0,B41-C41)</f>
      </c>
      <c r="E41">
        <v>1</v>
      </c>
      <c r="F41">
        <f>IF(MOD(A41,10)=0,1,0)</f>
      </c>
      <c r="G41">
        <f>ROUND($B$2*LN(A41+$B$3),0)</f>
      </c>
      <c r="H41">
        <f>D41*$B$4</f>
      </c>
      <c r="I41">
        <f>IF(E41=1,$B$5,0)</f>
      </c>
      <c r="J41">
        <f>G41+H41+I41</f>
      </c>
      <c r="K41">
        <f>IF(F41=1,J41*$B$6,J41)</f>
      </c>
      <c r="L41">
        <f>IF(F41=1,G41*$B$6,G41)</f>
      </c>
    </row>
    <row r="42" spans="1:12" x14ac:dyDescent="0.25">
      <c r="A42">
        <v>33</v>
      </c>
      <c r="B42">
        <v>7</v>
      </c>
      <c r="C42">
        <v>5</v>
      </c>
      <c r="D42">
        <f>MAX(0,B42-C42)</f>
      </c>
      <c r="E42">
        <v>1</v>
      </c>
      <c r="F42">
        <f>IF(MOD(A42,10)=0,1,0)</f>
      </c>
      <c r="G42">
        <f>ROUND($B$2*LN(A42+$B$3),0)</f>
      </c>
      <c r="H42">
        <f>D42*$B$4</f>
      </c>
      <c r="I42">
        <f>IF(E42=1,$B$5,0)</f>
      </c>
      <c r="J42">
        <f>G42+H42+I42</f>
      </c>
      <c r="K42">
        <f>IF(F42=1,J42*$B$6,J42)</f>
      </c>
      <c r="L42">
        <f>IF(F42=1,G42*$B$6,G42)</f>
      </c>
    </row>
    <row r="43" spans="1:12" x14ac:dyDescent="0.25">
      <c r="A43">
        <v>34</v>
      </c>
      <c r="B43">
        <v>8</v>
      </c>
      <c r="C43">
        <v>6</v>
      </c>
      <c r="D43">
        <f>MAX(0,B43-C43)</f>
      </c>
      <c r="E43">
        <v>1</v>
      </c>
      <c r="F43">
        <f>IF(MOD(A43,10)=0,1,0)</f>
      </c>
      <c r="G43">
        <f>ROUND($B$2*LN(A43+$B$3),0)</f>
      </c>
      <c r="H43">
        <f>D43*$B$4</f>
      </c>
      <c r="I43">
        <f>IF(E43=1,$B$5,0)</f>
      </c>
      <c r="J43">
        <f>G43+H43+I43</f>
      </c>
      <c r="K43">
        <f>IF(F43=1,J43*$B$6,J43)</f>
      </c>
      <c r="L43">
        <f>IF(F43=1,G43*$B$6,G43)</f>
      </c>
    </row>
    <row r="44" spans="1:12" x14ac:dyDescent="0.25">
      <c r="A44">
        <v>35</v>
      </c>
      <c r="B44">
        <v>8</v>
      </c>
      <c r="C44">
        <v>6</v>
      </c>
      <c r="D44">
        <f>MAX(0,B44-C44)</f>
      </c>
      <c r="E44">
        <v>1</v>
      </c>
      <c r="F44">
        <f>IF(MOD(A44,10)=0,1,0)</f>
      </c>
      <c r="G44">
        <f>ROUND($B$2*LN(A44+$B$3),0)</f>
      </c>
      <c r="H44">
        <f>D44*$B$4</f>
      </c>
      <c r="I44">
        <f>IF(E44=1,$B$5,0)</f>
      </c>
      <c r="J44">
        <f>G44+H44+I44</f>
      </c>
      <c r="K44">
        <f>IF(F44=1,J44*$B$6,J44)</f>
      </c>
      <c r="L44">
        <f>IF(F44=1,G44*$B$6,G44)</f>
      </c>
    </row>
    <row r="45" spans="1:12" x14ac:dyDescent="0.25">
      <c r="A45">
        <v>36</v>
      </c>
      <c r="B45">
        <v>9</v>
      </c>
      <c r="C45">
        <v>7</v>
      </c>
      <c r="D45">
        <f>MAX(0,B45-C45)</f>
      </c>
      <c r="E45">
        <v>1</v>
      </c>
      <c r="F45">
        <f>IF(MOD(A45,10)=0,1,0)</f>
      </c>
      <c r="G45">
        <f>ROUND($B$2*LN(A45+$B$3),0)</f>
      </c>
      <c r="H45">
        <f>D45*$B$4</f>
      </c>
      <c r="I45">
        <f>IF(E45=1,$B$5,0)</f>
      </c>
      <c r="J45">
        <f>G45+H45+I45</f>
      </c>
      <c r="K45">
        <f>IF(F45=1,J45*$B$6,J45)</f>
      </c>
      <c r="L45">
        <f>IF(F45=1,G45*$B$6,G45)</f>
      </c>
    </row>
    <row r="46" spans="1:12" x14ac:dyDescent="0.25">
      <c r="A46">
        <v>37</v>
      </c>
      <c r="B46">
        <v>7</v>
      </c>
      <c r="C46">
        <v>5</v>
      </c>
      <c r="D46">
        <f>MAX(0,B46-C46)</f>
      </c>
      <c r="E46">
        <v>1</v>
      </c>
      <c r="F46">
        <f>IF(MOD(A46,10)=0,1,0)</f>
      </c>
      <c r="G46">
        <f>ROUND($B$2*LN(A46+$B$3),0)</f>
      </c>
      <c r="H46">
        <f>D46*$B$4</f>
      </c>
      <c r="I46">
        <f>IF(E46=1,$B$5,0)</f>
      </c>
      <c r="J46">
        <f>G46+H46+I46</f>
      </c>
      <c r="K46">
        <f>IF(F46=1,J46*$B$6,J46)</f>
      </c>
      <c r="L46">
        <f>IF(F46=1,G46*$B$6,G46)</f>
      </c>
    </row>
    <row r="47" spans="1:12" x14ac:dyDescent="0.25">
      <c r="A47">
        <v>38</v>
      </c>
      <c r="B47">
        <v>7</v>
      </c>
      <c r="C47">
        <v>5</v>
      </c>
      <c r="D47">
        <f>MAX(0,B47-C47)</f>
      </c>
      <c r="E47">
        <v>1</v>
      </c>
      <c r="F47">
        <f>IF(MOD(A47,10)=0,1,0)</f>
      </c>
      <c r="G47">
        <f>ROUND($B$2*LN(A47+$B$3),0)</f>
      </c>
      <c r="H47">
        <f>D47*$B$4</f>
      </c>
      <c r="I47">
        <f>IF(E47=1,$B$5,0)</f>
      </c>
      <c r="J47">
        <f>G47+H47+I47</f>
      </c>
      <c r="K47">
        <f>IF(F47=1,J47*$B$6,J47)</f>
      </c>
      <c r="L47">
        <f>IF(F47=1,G47*$B$6,G47)</f>
      </c>
    </row>
    <row r="48" spans="1:12" x14ac:dyDescent="0.25">
      <c r="A48">
        <v>39</v>
      </c>
      <c r="B48">
        <v>9</v>
      </c>
      <c r="C48">
        <v>7</v>
      </c>
      <c r="D48">
        <f>MAX(0,B48-C48)</f>
      </c>
      <c r="E48">
        <v>1</v>
      </c>
      <c r="F48">
        <f>IF(MOD(A48,10)=0,1,0)</f>
      </c>
      <c r="G48">
        <f>ROUND($B$2*LN(A48+$B$3),0)</f>
      </c>
      <c r="H48">
        <f>D48*$B$4</f>
      </c>
      <c r="I48">
        <f>IF(E48=1,$B$5,0)</f>
      </c>
      <c r="J48">
        <f>G48+H48+I48</f>
      </c>
      <c r="K48">
        <f>IF(F48=1,J48*$B$6,J48)</f>
      </c>
      <c r="L48">
        <f>IF(F48=1,G48*$B$6,G48)</f>
      </c>
    </row>
    <row r="49" spans="1:12" x14ac:dyDescent="0.25">
      <c r="A49">
        <v>40</v>
      </c>
      <c r="B49">
        <v>8</v>
      </c>
      <c r="C49">
        <v>6</v>
      </c>
      <c r="D49">
        <f>MAX(0,B49-C49)</f>
      </c>
      <c r="E49">
        <v>1</v>
      </c>
      <c r="F49">
        <f>IF(MOD(A49,10)=0,1,0)</f>
      </c>
      <c r="G49">
        <f>ROUND($B$2*LN(A49+$B$3),0)</f>
      </c>
      <c r="H49">
        <f>D49*$B$4</f>
      </c>
      <c r="I49">
        <f>IF(E49=1,$B$5,0)</f>
      </c>
      <c r="J49">
        <f>G49+H49+I49</f>
      </c>
      <c r="K49">
        <f>IF(F49=1,J49*$B$6,J49)</f>
      </c>
      <c r="L49">
        <f>IF(F49=1,G49*$B$6,G49)</f>
      </c>
    </row>
    <row r="50" spans="1:12" x14ac:dyDescent="0.25">
      <c r="A50">
        <v>41</v>
      </c>
      <c r="B50">
        <v>9</v>
      </c>
      <c r="C50">
        <v>7</v>
      </c>
      <c r="D50">
        <f>MAX(0,B50-C50)</f>
      </c>
      <c r="E50">
        <v>1</v>
      </c>
      <c r="F50">
        <f>IF(MOD(A50,10)=0,1,0)</f>
      </c>
      <c r="G50">
        <f>ROUND($B$2*LN(A50+$B$3),0)</f>
      </c>
      <c r="H50">
        <f>D50*$B$4</f>
      </c>
      <c r="I50">
        <f>IF(E50=1,$B$5,0)</f>
      </c>
      <c r="J50">
        <f>G50+H50+I50</f>
      </c>
      <c r="K50">
        <f>IF(F50=1,J50*$B$6,J50)</f>
      </c>
      <c r="L50">
        <f>IF(F50=1,G50*$B$6,G50)</f>
      </c>
    </row>
    <row r="51" spans="1:12" x14ac:dyDescent="0.25">
      <c r="A51">
        <v>42</v>
      </c>
      <c r="B51">
        <v>7</v>
      </c>
      <c r="C51">
        <v>5</v>
      </c>
      <c r="D51">
        <f>MAX(0,B51-C51)</f>
      </c>
      <c r="E51">
        <v>1</v>
      </c>
      <c r="F51">
        <f>IF(MOD(A51,10)=0,1,0)</f>
      </c>
      <c r="G51">
        <f>ROUND($B$2*LN(A51+$B$3),0)</f>
      </c>
      <c r="H51">
        <f>D51*$B$4</f>
      </c>
      <c r="I51">
        <f>IF(E51=1,$B$5,0)</f>
      </c>
      <c r="J51">
        <f>G51+H51+I51</f>
      </c>
      <c r="K51">
        <f>IF(F51=1,J51*$B$6,J51)</f>
      </c>
      <c r="L51">
        <f>IF(F51=1,G51*$B$6,G51)</f>
      </c>
    </row>
    <row r="52" spans="1:12" x14ac:dyDescent="0.25">
      <c r="A52">
        <v>43</v>
      </c>
      <c r="B52">
        <v>8</v>
      </c>
      <c r="C52">
        <v>6</v>
      </c>
      <c r="D52">
        <f>MAX(0,B52-C52)</f>
      </c>
      <c r="E52">
        <v>1</v>
      </c>
      <c r="F52">
        <f>IF(MOD(A52,10)=0,1,0)</f>
      </c>
      <c r="G52">
        <f>ROUND($B$2*LN(A52+$B$3),0)</f>
      </c>
      <c r="H52">
        <f>D52*$B$4</f>
      </c>
      <c r="I52">
        <f>IF(E52=1,$B$5,0)</f>
      </c>
      <c r="J52">
        <f>G52+H52+I52</f>
      </c>
      <c r="K52">
        <f>IF(F52=1,J52*$B$6,J52)</f>
      </c>
      <c r="L52">
        <f>IF(F52=1,G52*$B$6,G52)</f>
      </c>
    </row>
    <row r="53" spans="1:12" x14ac:dyDescent="0.25">
      <c r="A53">
        <v>44</v>
      </c>
      <c r="B53">
        <v>10</v>
      </c>
      <c r="C53">
        <v>8</v>
      </c>
      <c r="D53">
        <f>MAX(0,B53-C53)</f>
      </c>
      <c r="E53">
        <v>1</v>
      </c>
      <c r="F53">
        <f>IF(MOD(A53,10)=0,1,0)</f>
      </c>
      <c r="G53">
        <f>ROUND($B$2*LN(A53+$B$3),0)</f>
      </c>
      <c r="H53">
        <f>D53*$B$4</f>
      </c>
      <c r="I53">
        <f>IF(E53=1,$B$5,0)</f>
      </c>
      <c r="J53">
        <f>G53+H53+I53</f>
      </c>
      <c r="K53">
        <f>IF(F53=1,J53*$B$6,J53)</f>
      </c>
      <c r="L53">
        <f>IF(F53=1,G53*$B$6,G53)</f>
      </c>
    </row>
    <row r="54" spans="1:12" x14ac:dyDescent="0.25">
      <c r="A54">
        <v>45</v>
      </c>
      <c r="B54">
        <v>9</v>
      </c>
      <c r="C54">
        <v>7</v>
      </c>
      <c r="D54">
        <f>MAX(0,B54-C54)</f>
      </c>
      <c r="E54">
        <v>1</v>
      </c>
      <c r="F54">
        <f>IF(MOD(A54,10)=0,1,0)</f>
      </c>
      <c r="G54">
        <f>ROUND($B$2*LN(A54+$B$3),0)</f>
      </c>
      <c r="H54">
        <f>D54*$B$4</f>
      </c>
      <c r="I54">
        <f>IF(E54=1,$B$5,0)</f>
      </c>
      <c r="J54">
        <f>G54+H54+I54</f>
      </c>
      <c r="K54">
        <f>IF(F54=1,J54*$B$6,J54)</f>
      </c>
      <c r="L54">
        <f>IF(F54=1,G54*$B$6,G54)</f>
      </c>
    </row>
    <row r="55" spans="1:12" x14ac:dyDescent="0.25">
      <c r="A55">
        <v>46</v>
      </c>
      <c r="B55">
        <v>2</v>
      </c>
      <c r="C55">
        <v>2</v>
      </c>
      <c r="D55">
        <f>MAX(0,B55-C55)</f>
      </c>
      <c r="E55">
        <v>1</v>
      </c>
      <c r="F55">
        <f>IF(MOD(A55,10)=0,1,0)</f>
      </c>
      <c r="G55">
        <f>ROUND($B$2*LN(A55+$B$3),0)</f>
      </c>
      <c r="H55">
        <f>D55*$B$4</f>
      </c>
      <c r="I55">
        <f>IF(E55=1,$B$5,0)</f>
      </c>
      <c r="J55">
        <f>G55+H55+I55</f>
      </c>
      <c r="K55">
        <f>IF(F55=1,J55*$B$6,J55)</f>
      </c>
      <c r="L55">
        <f>IF(F55=1,G55*$B$6,G55)</f>
      </c>
    </row>
    <row r="56" spans="1:12" x14ac:dyDescent="0.25">
      <c r="A56">
        <v>47</v>
      </c>
      <c r="B56">
        <v>9</v>
      </c>
      <c r="C56">
        <v>7</v>
      </c>
      <c r="D56">
        <f>MAX(0,B56-C56)</f>
      </c>
      <c r="E56">
        <v>1</v>
      </c>
      <c r="F56">
        <f>IF(MOD(A56,10)=0,1,0)</f>
      </c>
      <c r="G56">
        <f>ROUND($B$2*LN(A56+$B$3),0)</f>
      </c>
      <c r="H56">
        <f>D56*$B$4</f>
      </c>
      <c r="I56">
        <f>IF(E56=1,$B$5,0)</f>
      </c>
      <c r="J56">
        <f>G56+H56+I56</f>
      </c>
      <c r="K56">
        <f>IF(F56=1,J56*$B$6,J56)</f>
      </c>
      <c r="L56">
        <f>IF(F56=1,G56*$B$6,G56)</f>
      </c>
    </row>
    <row r="57" spans="1:12" x14ac:dyDescent="0.25">
      <c r="A57">
        <v>48</v>
      </c>
      <c r="B57">
        <v>7</v>
      </c>
      <c r="C57">
        <v>5</v>
      </c>
      <c r="D57">
        <f>MAX(0,B57-C57)</f>
      </c>
      <c r="E57">
        <v>1</v>
      </c>
      <c r="F57">
        <f>IF(MOD(A57,10)=0,1,0)</f>
      </c>
      <c r="G57">
        <f>ROUND($B$2*LN(A57+$B$3),0)</f>
      </c>
      <c r="H57">
        <f>D57*$B$4</f>
      </c>
      <c r="I57">
        <f>IF(E57=1,$B$5,0)</f>
      </c>
      <c r="J57">
        <f>G57+H57+I57</f>
      </c>
      <c r="K57">
        <f>IF(F57=1,J57*$B$6,J57)</f>
      </c>
      <c r="L57">
        <f>IF(F57=1,G57*$B$6,G57)</f>
      </c>
    </row>
    <row r="58" spans="1:12" x14ac:dyDescent="0.25">
      <c r="A58">
        <v>49</v>
      </c>
      <c r="B58">
        <v>10</v>
      </c>
      <c r="C58">
        <v>8</v>
      </c>
      <c r="D58">
        <f>MAX(0,B58-C58)</f>
      </c>
      <c r="E58">
        <v>1</v>
      </c>
      <c r="F58">
        <f>IF(MOD(A58,10)=0,1,0)</f>
      </c>
      <c r="G58">
        <f>ROUND($B$2*LN(A58+$B$3),0)</f>
      </c>
      <c r="H58">
        <f>D58*$B$4</f>
      </c>
      <c r="I58">
        <f>IF(E58=1,$B$5,0)</f>
      </c>
      <c r="J58">
        <f>G58+H58+I58</f>
      </c>
      <c r="K58">
        <f>IF(F58=1,J58*$B$6,J58)</f>
      </c>
      <c r="L58">
        <f>IF(F58=1,G58*$B$6,G58)</f>
      </c>
    </row>
    <row r="59" spans="1:12" x14ac:dyDescent="0.25">
      <c r="A59">
        <v>50</v>
      </c>
      <c r="B59">
        <v>7</v>
      </c>
      <c r="C59">
        <v>5</v>
      </c>
      <c r="D59">
        <f>MAX(0,B59-C59)</f>
      </c>
      <c r="E59">
        <v>1</v>
      </c>
      <c r="F59">
        <f>IF(MOD(A59,10)=0,1,0)</f>
      </c>
      <c r="G59">
        <f>ROUND($B$2*LN(A59+$B$3),0)</f>
      </c>
      <c r="H59">
        <f>D59*$B$4</f>
      </c>
      <c r="I59">
        <f>IF(E59=1,$B$5,0)</f>
      </c>
      <c r="J59">
        <f>G59+H59+I59</f>
      </c>
      <c r="K59">
        <f>IF(F59=1,J59*$B$6,J59)</f>
      </c>
      <c r="L59">
        <f>IF(F59=1,G59*$B$6,G59)</f>
      </c>
    </row>
    <row r="60" spans="1:12" x14ac:dyDescent="0.25">
      <c r="A60" s="5" t="s">
        <v>19</v>
      </c>
      <c r="K60" s="6">
        <f>SUM(K10:K59)</f>
      </c>
      <c r="L60" s="6">
        <f>SUM(L10:L59)</f>
      </c>
    </row>
    <row r="61" spans="1:12" x14ac:dyDescent="0.25">
      <c r="A61" t="s">
        <v>20</v>
      </c>
      <c r="L61" s="6">
        <f>SUM(L10:L39)</f>
      </c>
    </row>
  </sheetData>
  <autoFilter ref="A9:L59"/>
  <mergeCells count="2">
    <mergeCell ref="A1:D1"/>
    <mergeCell ref="C2:F2"/>
  </mergeCells>
  <conditionalFormatting sqref="K10:L5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1" width="22" customWidth="1"/>
    <col min="2" max="2" width="26" customWidth="1"/>
    <col min="3" max="3" width="12" customWidth="1"/>
    <col min="4" max="4" width="3" customWidth="1"/>
    <col min="5" max="5" width="22" customWidth="1"/>
    <col min="6" max="6" width="26" customWidth="1"/>
    <col min="7" max="7" width="12" customWidth="1"/>
  </cols>
  <sheetData>
    <row r="1" spans="1:5" x14ac:dyDescent="0.25">
      <c r="A1" s="1" t="s">
        <v>21</v>
      </c>
      <c r="E1" s="1" t="s">
        <v>22</v>
      </c>
    </row>
    <row r="2" spans="1:7" s="4" customFormat="1" x14ac:dyDescent="0.25">
      <c r="A2" s="4" t="s">
        <v>23</v>
      </c>
      <c r="B2" s="4" t="s">
        <v>24</v>
      </c>
      <c r="C2" s="4" t="s">
        <v>25</v>
      </c>
      <c r="E2" s="4" t="s">
        <v>23</v>
      </c>
      <c r="F2" s="4" t="s">
        <v>24</v>
      </c>
      <c r="G2" s="4" t="s">
        <v>25</v>
      </c>
    </row>
    <row r="3" spans="1:7" x14ac:dyDescent="0.25">
      <c r="A3" t="s">
        <v>26</v>
      </c>
      <c r="B3" t="s">
        <v>27</v>
      </c>
      <c r="C3" s="7">
        <v>0</v>
      </c>
      <c r="E3" t="s">
        <v>28</v>
      </c>
      <c r="F3" t="s">
        <v>29</v>
      </c>
      <c r="G3" s="7">
        <v>0</v>
      </c>
    </row>
    <row r="4" spans="1:7" x14ac:dyDescent="0.25">
      <c r="A4" t="s">
        <v>30</v>
      </c>
      <c r="B4" t="s">
        <v>31</v>
      </c>
      <c r="C4" s="7">
        <v>895</v>
      </c>
      <c r="E4" t="s">
        <v>32</v>
      </c>
      <c r="F4" t="s">
        <v>33</v>
      </c>
      <c r="G4" s="7">
        <v>1195</v>
      </c>
    </row>
    <row r="5" spans="1:7" x14ac:dyDescent="0.25">
      <c r="A5" t="s">
        <v>34</v>
      </c>
      <c r="B5" t="s">
        <v>35</v>
      </c>
      <c r="C5" s="7">
        <v>1195</v>
      </c>
      <c r="E5" t="s">
        <v>36</v>
      </c>
      <c r="F5" t="s">
        <v>37</v>
      </c>
      <c r="G5" s="7">
        <v>1790</v>
      </c>
    </row>
    <row r="6" spans="1:7" x14ac:dyDescent="0.25">
      <c r="A6" t="s">
        <v>38</v>
      </c>
      <c r="B6" t="s">
        <v>39</v>
      </c>
      <c r="C6" s="7">
        <v>1490</v>
      </c>
      <c r="E6" t="s">
        <v>40</v>
      </c>
      <c r="F6" t="s">
        <v>41</v>
      </c>
      <c r="G6" s="7">
        <v>1670</v>
      </c>
    </row>
    <row r="7" spans="1:7" x14ac:dyDescent="0.25">
      <c r="A7" t="s">
        <v>42</v>
      </c>
      <c r="B7" t="s">
        <v>43</v>
      </c>
      <c r="C7" s="7">
        <v>1910</v>
      </c>
      <c r="E7" t="s">
        <v>44</v>
      </c>
      <c r="F7" t="s">
        <v>45</v>
      </c>
      <c r="G7" s="7">
        <v>1550</v>
      </c>
    </row>
    <row r="8" spans="1:7" x14ac:dyDescent="0.25">
      <c r="A8" t="s">
        <v>46</v>
      </c>
      <c r="B8" t="s">
        <v>47</v>
      </c>
      <c r="C8" s="7">
        <v>1670</v>
      </c>
      <c r="E8" t="s">
        <v>48</v>
      </c>
      <c r="F8" t="s">
        <v>49</v>
      </c>
      <c r="G8" s="7">
        <v>1315</v>
      </c>
    </row>
    <row r="9" spans="1:7" x14ac:dyDescent="0.25">
      <c r="A9" t="s">
        <v>50</v>
      </c>
      <c r="B9" t="s">
        <v>51</v>
      </c>
      <c r="C9" s="7">
        <v>1550</v>
      </c>
      <c r="E9" t="s">
        <v>52</v>
      </c>
      <c r="F9" t="s">
        <v>53</v>
      </c>
      <c r="G9" s="7">
        <v>1790</v>
      </c>
    </row>
    <row r="10" spans="1:7" x14ac:dyDescent="0.25">
      <c r="A10" t="s">
        <v>54</v>
      </c>
      <c r="B10" t="s">
        <v>55</v>
      </c>
      <c r="C10" s="7">
        <v>1790</v>
      </c>
      <c r="E10" t="s">
        <v>56</v>
      </c>
      <c r="F10" t="s">
        <v>57</v>
      </c>
      <c r="G10" s="7">
        <v>1550</v>
      </c>
    </row>
    <row r="11" spans="1:7" x14ac:dyDescent="0.25">
      <c r="A11" t="s">
        <v>58</v>
      </c>
      <c r="B11" t="s">
        <v>59</v>
      </c>
      <c r="C11" s="7">
        <v>1730</v>
      </c>
      <c r="E11" t="s">
        <v>60</v>
      </c>
      <c r="F11" t="s">
        <v>61</v>
      </c>
      <c r="G11" s="7">
        <v>2150</v>
      </c>
    </row>
    <row r="12" spans="1:7" x14ac:dyDescent="0.25">
      <c r="A12" t="s">
        <v>62</v>
      </c>
      <c r="B12" t="s">
        <v>63</v>
      </c>
      <c r="C12" s="7">
        <v>1610</v>
      </c>
      <c r="E12" t="s">
        <v>64</v>
      </c>
      <c r="F12" t="s">
        <v>65</v>
      </c>
      <c r="G12" s="7">
        <v>1430</v>
      </c>
    </row>
    <row r="13" spans="1:7" x14ac:dyDescent="0.25">
      <c r="A13" t="s">
        <v>66</v>
      </c>
      <c r="B13" t="s">
        <v>67</v>
      </c>
      <c r="C13" s="7">
        <v>2265</v>
      </c>
      <c r="E13" t="s">
        <v>68</v>
      </c>
      <c r="F13" t="s">
        <v>69</v>
      </c>
      <c r="G13" s="7">
        <v>1195</v>
      </c>
    </row>
    <row r="14" spans="1:7" x14ac:dyDescent="0.25">
      <c r="A14" t="s">
        <v>70</v>
      </c>
      <c r="B14" t="s">
        <v>71</v>
      </c>
      <c r="C14" s="7">
        <v>1850</v>
      </c>
      <c r="F14" s="5" t="s">
        <v>72</v>
      </c>
      <c r="G14" s="8">
        <f>SUM(G3:G13)</f>
      </c>
    </row>
    <row r="15" spans="2:3" x14ac:dyDescent="0.25">
      <c r="B15" s="5" t="s">
        <v>72</v>
      </c>
      <c r="C15" s="8">
        <f>SUM(C3:C14)</f>
      </c>
    </row>
    <row r="17" spans="1:3" x14ac:dyDescent="0.25">
      <c r="A17" s="1" t="s">
        <v>73</v>
      </c>
      <c r="B17" s="1"/>
      <c r="C17" s="1"/>
    </row>
    <row r="18" spans="1:2" x14ac:dyDescent="0.25">
      <c r="A18" t="s">
        <v>74</v>
      </c>
      <c r="B18">
        <v>5</v>
      </c>
    </row>
    <row r="19" spans="1:2" x14ac:dyDescent="0.25">
      <c r="A19" t="s">
        <v>75</v>
      </c>
      <c r="B19">
        <v>100</v>
      </c>
    </row>
    <row r="20" spans="1:2" x14ac:dyDescent="0.25">
      <c r="A20" t="s">
        <v>76</v>
      </c>
      <c r="B20" s="9">
        <f>B19/B18</f>
      </c>
    </row>
    <row r="21" spans="1:2" x14ac:dyDescent="0.25">
      <c r="A21" t="s">
        <v>77</v>
      </c>
      <c r="B21">
        <v>5</v>
      </c>
    </row>
  </sheetData>
  <mergeCells count="1">
    <mergeCell ref="A17:C17"/>
  </mergeCells>
  <conditionalFormatting sqref="C3:C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1" width="42" customWidth="1"/>
    <col min="2" max="2" width="18" customWidth="1"/>
    <col min="3" max="3" width="40" customWidth="1"/>
  </cols>
  <sheetData>
    <row r="1" spans="1:3" x14ac:dyDescent="0.25">
      <c r="A1" s="5" t="s">
        <v>78</v>
      </c>
      <c r="B1" s="10">
        <f>'Nguồn thu (Source)'!K60</f>
      </c>
      <c r="C1" s="3" t="s">
        <v>79</v>
      </c>
    </row>
    <row r="2" spans="1:3" x14ac:dyDescent="0.25">
      <c r="A2" s="5" t="s">
        <v>80</v>
      </c>
      <c r="B2" s="10">
        <f>'Nguồn thu (Source)'!L60</f>
      </c>
      <c r="C2" s="3" t="s">
        <v>81</v>
      </c>
    </row>
    <row r="3" spans="1:3" x14ac:dyDescent="0.25">
      <c r="A3" s="5" t="s">
        <v>20</v>
      </c>
      <c r="B3" s="10">
        <f>'Nguồn thu (Source)'!L61</f>
      </c>
      <c r="C3" s="3" t="s">
        <v>82</v>
      </c>
    </row>
    <row r="4" spans="1:3" x14ac:dyDescent="0.25">
      <c r="A4" s="5" t="s">
        <v>83</v>
      </c>
      <c r="B4" s="10">
        <f>MIN('Tiêu (Sink)'!C4:C14,'Tiêu (Sink)'!G4:G13)</f>
      </c>
      <c r="C4" s="3" t="s">
        <v>84</v>
      </c>
    </row>
    <row r="5" spans="1:3" x14ac:dyDescent="0.25">
      <c r="A5" s="5" t="s">
        <v>85</v>
      </c>
      <c r="B5" s="11">
        <f>IF(B3&gt;=B4,"PASS ✓","FAIL ✗")</f>
      </c>
      <c r="C5" s="3" t="s">
        <v>86</v>
      </c>
    </row>
    <row r="6" spans="1:3" x14ac:dyDescent="0.25">
      <c r="A6" s="5" t="s">
        <v>87</v>
      </c>
      <c r="B6" s="10">
        <f>'Tiêu (Sink)'!C15+'Tiêu (Sink)'!G14</f>
      </c>
      <c r="C6" s="3" t="s">
        <v>88</v>
      </c>
    </row>
    <row r="7" spans="1:3" x14ac:dyDescent="0.25">
      <c r="A7" s="5" t="s">
        <v>89</v>
      </c>
      <c r="B7" s="10">
        <f>'Tiêu (Sink)'!B20</f>
      </c>
      <c r="C7" s="3" t="s">
        <v>90</v>
      </c>
    </row>
    <row r="9" spans="1:3" x14ac:dyDescent="0.25">
      <c r="A9" s="12" t="s">
        <v>91</v>
      </c>
      <c r="B9" s="12"/>
      <c r="C9" s="12"/>
    </row>
  </sheetData>
  <mergeCells count="1">
    <mergeCell ref="A9:C9"/>
  </mergeCells>
  <conditionalFormatting sqref="B5">
    <cfRule type="containsText" dxfId="0" priority="1">
      <formula>NOT(ISERROR(SEARCH("PASS",B5)))</formula>
    </cfRule>
    <cfRule type="containsText" dxfId="1" priority="2">
      <formula>NOT(ISERROR(SEARCH("FAIL",B5)))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Nguồn thu (Source)</vt:lpstr>
      <vt:lpstr>Tiêu (Sink)</vt:lpstr>
      <vt:lpstr>Cân bằng (Balance)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Mahjong × Block</dc:creator>
  <dc:title/>
  <dc:subject/>
  <dc:description/>
  <cp:keywords/>
  <cp:category/>
  <cp:lastModifiedBy>Unknown</cp:lastModifiedBy>
  <dcterms:created xsi:type="dcterms:W3CDTF">2026-09-08T06:27:57Z</dcterms:created>
  <dcterms:modified xsi:type="dcterms:W3CDTF">2026-09-08T06:27:57Z</dcterms:modified>
</cp:coreProperties>
</file>