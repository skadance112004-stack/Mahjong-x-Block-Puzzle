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urce &amp; Sink" state="visible" r:id="rId4"/>
  </sheets>
  <calcPr calcId="171027"/>
</workbook>
</file>

<file path=xl/sharedStrings.xml><?xml version="1.0" encoding="utf-8"?>
<sst xmlns="http://schemas.openxmlformats.org/spreadsheetml/2006/main" count="84" uniqueCount="62">
  <si>
    <t>KINH TẾ XU — SOURCE &amp; SINK (tổng hợp 1 sheet)</t>
  </si>
  <si>
    <t>THAM SỐ CÔNG THỨC</t>
  </si>
  <si>
    <t>Hệ số (base)</t>
  </si>
  <si>
    <t>Offset (+n trong ln)</t>
  </si>
  <si>
    <t>Bonus / lượt dư (đã bỏ, giữ = 0)</t>
  </si>
  <si>
    <t>Bonus không dùng booster</t>
  </si>
  <si>
    <t>Nhân màn chốt chương</t>
  </si>
  <si>
    <t>TIÊU (SINK)</t>
  </si>
  <si>
    <t>Món</t>
  </si>
  <si>
    <t>Loại</t>
  </si>
  <si>
    <t>Giá (Xu)</t>
  </si>
  <si>
    <t>Ngà nguyên bản</t>
  </si>
  <si>
    <t>Skin quân</t>
  </si>
  <si>
    <t>Ngọc bích</t>
  </si>
  <si>
    <t>Mực đen</t>
  </si>
  <si>
    <t>Hổ phách</t>
  </si>
  <si>
    <t>Thập Nhị Chi</t>
  </si>
  <si>
    <t>Muông Thú</t>
  </si>
  <si>
    <t>Tứ Quý Trái Cây</t>
  </si>
  <si>
    <t>Bài Tây</t>
  </si>
  <si>
    <t>Hoa Sen</t>
  </si>
  <si>
    <t>Biển Cả</t>
  </si>
  <si>
    <t>Trân Bảo</t>
  </si>
  <si>
    <t>Tứ Thời</t>
  </si>
  <si>
    <t>Gỗ nguyên bản</t>
  </si>
  <si>
    <t>Skin bàn</t>
  </si>
  <si>
    <t>Tre trúc</t>
  </si>
  <si>
    <t>Đá xanh</t>
  </si>
  <si>
    <t>Ngọc Bích Hoàng Cung</t>
  </si>
  <si>
    <t>Sơn Mài Đỏ</t>
  </si>
  <si>
    <t>Giấy Hoa Tiên</t>
  </si>
  <si>
    <t>NGUỒN THU (SOURCE) — round(Hệ số × ln(Màn + Offset))</t>
  </si>
  <si>
    <t>Sứ Men Lam</t>
  </si>
  <si>
    <t>Màn</t>
  </si>
  <si>
    <t>Move Limit</t>
  </si>
  <si>
    <t>Nước lời giải</t>
  </si>
  <si>
    <t>Lượt dư</t>
  </si>
  <si>
    <t>Có Booster?</t>
  </si>
  <si>
    <t>Màn chốt chương?</t>
  </si>
  <si>
    <t>Sàn (log)</t>
  </si>
  <si>
    <t>Bonus lượt dư</t>
  </si>
  <si>
    <t>Bonus booster</t>
  </si>
  <si>
    <t>Tổng trước nhân</t>
  </si>
  <si>
    <t>Xu — tối ưu</t>
  </si>
  <si>
    <t>Xu — tệ nhất</t>
  </si>
  <si>
    <t>Vườn Anh Đào</t>
  </si>
  <si>
    <t>Điện Rồng Vàng</t>
  </si>
  <si>
    <t>Ánh Trăng Đêm</t>
  </si>
  <si>
    <t>Trà Quán</t>
  </si>
  <si>
    <t>Gói Booster (+5 lượt)</t>
  </si>
  <si>
    <t>Booster</t>
  </si>
  <si>
    <t>Tổng nếu mua hết catalogue</t>
  </si>
  <si>
    <t>Skin rẻ nhất (bỏ qua giá 0)</t>
  </si>
  <si>
    <t>Xu / 1 lượt booster</t>
  </si>
  <si>
    <t>CÂN BẰNG</t>
  </si>
  <si>
    <t>Tổng Xu tối ưu — 50 màn</t>
  </si>
  <si>
    <t>Tổng Xu tệ nhất — 50 màn</t>
  </si>
  <si>
    <t>Tệ nhất — cộng dồn tới màn 30</t>
  </si>
  <si>
    <t>Giá skin rẻ nhất</t>
  </si>
  <si>
    <t>Đủ mua skin rẻ nhất ở màn 30?</t>
  </si>
  <si>
    <t>Đổi Hệ số/Offset/giá ở trên — mọi ô Cân bằng tự tính lại, kể cả PASS/FAIL.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</si>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</sst>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color theme="1"/>
      <family val="2"/>
      <scheme val="minor"/>
      <sz val="11"/>
      <name val="Calibri"/>
    </font>
    <font>
      <b/>
      <color rgb="FF8A5A13"/>
      <sz val="15"/>
    </font>
    <font>
      <b/>
      <color rgb="FF8A5A13"/>
      <sz val="12"/>
    </font>
    <font>
      <b/>
    </font>
    <font>
      <b/>
      <color rgb="FFFFFFFF"/>
    </font>
    <font>
      <b/>
      <color rgb="FF8A5A13"/>
    </font>
    <font>
      <b/>
      <sz val="13"/>
    </font>
    <font>
      <i/>
      <color rgb="FF6B5C46"/>
      <sz val="10"/>
    </font>
  </fonts>
  <fills count="4">
    <fill>
      <patternFill patternType="none"/>
    </fill>
    <fill>
      <patternFill patternType="gray125"/>
    </fill>
    <fill>
      <patternFill patternType="solid">
        <fgColor rgb="FFFCEFD0"/>
      </patternFill>
    </fill>
    <fill>
      <patternFill patternType="solid">
        <fgColor rgb="FF3D2A2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4" fillId="3" borderId="0" xfId="0" applyFont="1" applyFill="1" applyAlignment="1">
      <alignment vertical="center"/>
    </xf>
    <xf numFmtId="3" fontId="0" fillId="0" borderId="0" xfId="0" applyNumberFormat="1"/>
    <xf numFmtId="3" fontId="4" fillId="3" borderId="0" xfId="0" applyNumberFormat="1" applyFont="1" applyFill="1" applyAlignment="1">
      <alignment vertical="center"/>
    </xf>
    <xf numFmtId="0" fontId="3" fillId="0" borderId="0" xfId="0" applyFont="1"/>
    <xf numFmtId="3" fontId="3" fillId="0" borderId="0" xfId="0" applyNumberFormat="1" applyFont="1"/>
    <xf numFmtId="3" fontId="5" fillId="0" borderId="0" xfId="0" applyNumberFormat="1" applyFont="1"/>
    <xf numFmtId="164" fontId="0" fillId="0" borderId="0" xfId="0" applyNumberFormat="1"/>
    <xf numFmtId="3" fontId="2" fillId="0" borderId="0" xfId="0" applyNumberFormat="1" applyFont="1"/>
    <xf numFmtId="0" fontId="6" fillId="0" borderId="0" xfId="0" applyFont="1"/>
    <xf numFmtId="0" fontId="7" fillId="0" borderId="0" xfId="0" applyFont="1"/>
    <xf numFmtId="0" fontId="5" fillId="0" borderId="0" xfId="0" applyFont="1"/>
  </cellXfs>
  <cellStyles count="1">
    <cellStyle name="Normal" xfId="0" builtinId="0"/>
  </cellStyles>
  <dxfs count="2"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3000</xdr:colOff>
      <xdr:row>2</xdr:row>
      <xdr:rowOff>18000</xdr:rowOff>
    </xdr:from>
    <xdr:ext cx="8953500" cy="41338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1"/>
  <sheetViews>
    <sheetView workbookViewId="0">
      <pane ySplit="29" topLeftCell="A30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1" customWidth="1"/>
    <col min="3" max="3" width="12" customWidth="1"/>
    <col min="5" max="5" width="10" customWidth="1"/>
    <col min="6" max="6" width="13" customWidth="1"/>
    <col min="7" max="7" width="11" customWidth="1"/>
    <col min="8" max="9" width="13" customWidth="1"/>
    <col min="10" max="10" width="15" customWidth="1"/>
    <col min="11" max="12" width="13" customWidth="1"/>
    <col min="13" max="13" width="2" customWidth="1"/>
    <col min="14" max="14" width="24" customWidth="1"/>
    <col min="15" max="15" width="14" customWidth="1"/>
    <col min="16" max="16" width="12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N1" s="2" t="s">
        <v>1</v>
      </c>
    </row>
    <row r="2" spans="14:15" x14ac:dyDescent="0.25">
      <c r="N2" t="s">
        <v>2</v>
      </c>
      <c r="O2" s="3">
        <v>10</v>
      </c>
    </row>
    <row r="3" ht="16.8" customHeight="1" spans="14:15" x14ac:dyDescent="0.25">
      <c r="N3" t="s">
        <v>3</v>
      </c>
      <c r="O3" s="3">
        <v>2</v>
      </c>
    </row>
    <row r="4" ht="16.8" customHeight="1" spans="14:15" x14ac:dyDescent="0.25">
      <c r="N4" t="s">
        <v>4</v>
      </c>
      <c r="O4" s="3">
        <v>0</v>
      </c>
    </row>
    <row r="5" ht="16.8" customHeight="1" spans="14:15" x14ac:dyDescent="0.25">
      <c r="N5" t="s">
        <v>5</v>
      </c>
      <c r="O5" s="3">
        <v>15</v>
      </c>
    </row>
    <row r="6" ht="16.8" customHeight="1" spans="14:15" x14ac:dyDescent="0.25">
      <c r="N6" t="s">
        <v>6</v>
      </c>
      <c r="O6" s="3">
        <v>2</v>
      </c>
    </row>
    <row r="7" ht="16.8" customHeight="1" x14ac:dyDescent="0.25"/>
    <row r="8" ht="16.8" customHeight="1" spans="14:14" x14ac:dyDescent="0.25">
      <c r="N8" s="2" t="s">
        <v>7</v>
      </c>
    </row>
    <row r="9" ht="16.8" customHeight="1" spans="14:16" s="4" customFormat="1" x14ac:dyDescent="0.25">
      <c r="N9" s="4" t="s">
        <v>8</v>
      </c>
      <c r="O9" s="4" t="s">
        <v>9</v>
      </c>
      <c r="P9" s="4" t="s">
        <v>10</v>
      </c>
    </row>
    <row r="10" ht="16.8" customHeight="1" spans="14:16" x14ac:dyDescent="0.25">
      <c r="N10" t="s">
        <v>11</v>
      </c>
      <c r="O10" t="s">
        <v>12</v>
      </c>
      <c r="P10" s="5">
        <v>0</v>
      </c>
    </row>
    <row r="11" ht="16.8" customHeight="1" spans="14:16" x14ac:dyDescent="0.25">
      <c r="N11" t="s">
        <v>13</v>
      </c>
      <c r="O11" t="s">
        <v>12</v>
      </c>
      <c r="P11" s="5">
        <v>895</v>
      </c>
    </row>
    <row r="12" ht="16.8" customHeight="1" spans="14:16" x14ac:dyDescent="0.25">
      <c r="N12" t="s">
        <v>14</v>
      </c>
      <c r="O12" t="s">
        <v>12</v>
      </c>
      <c r="P12" s="5">
        <v>1195</v>
      </c>
    </row>
    <row r="13" ht="16.8" customHeight="1" spans="14:16" x14ac:dyDescent="0.25">
      <c r="N13" t="s">
        <v>15</v>
      </c>
      <c r="O13" t="s">
        <v>12</v>
      </c>
      <c r="P13" s="5">
        <v>1490</v>
      </c>
    </row>
    <row r="14" ht="16.8" customHeight="1" spans="14:16" x14ac:dyDescent="0.25">
      <c r="N14" t="s">
        <v>16</v>
      </c>
      <c r="O14" t="s">
        <v>12</v>
      </c>
      <c r="P14" s="5">
        <v>1910</v>
      </c>
    </row>
    <row r="15" ht="16.8" customHeight="1" spans="14:16" x14ac:dyDescent="0.25">
      <c r="N15" t="s">
        <v>17</v>
      </c>
      <c r="O15" t="s">
        <v>12</v>
      </c>
      <c r="P15" s="5">
        <v>1670</v>
      </c>
    </row>
    <row r="16" ht="16.8" customHeight="1" spans="14:16" x14ac:dyDescent="0.25">
      <c r="N16" t="s">
        <v>18</v>
      </c>
      <c r="O16" t="s">
        <v>12</v>
      </c>
      <c r="P16" s="5">
        <v>1550</v>
      </c>
    </row>
    <row r="17" ht="16.8" customHeight="1" spans="14:16" x14ac:dyDescent="0.25">
      <c r="N17" t="s">
        <v>19</v>
      </c>
      <c r="O17" t="s">
        <v>12</v>
      </c>
      <c r="P17" s="5">
        <v>1790</v>
      </c>
    </row>
    <row r="18" ht="16.8" customHeight="1" spans="14:16" x14ac:dyDescent="0.25">
      <c r="N18" t="s">
        <v>20</v>
      </c>
      <c r="O18" t="s">
        <v>12</v>
      </c>
      <c r="P18" s="5">
        <v>1730</v>
      </c>
    </row>
    <row r="19" ht="16.8" customHeight="1" spans="14:16" x14ac:dyDescent="0.25">
      <c r="N19" t="s">
        <v>21</v>
      </c>
      <c r="O19" t="s">
        <v>12</v>
      </c>
      <c r="P19" s="5">
        <v>1610</v>
      </c>
    </row>
    <row r="20" ht="16.8" customHeight="1" spans="14:16" x14ac:dyDescent="0.25">
      <c r="N20" t="s">
        <v>22</v>
      </c>
      <c r="O20" t="s">
        <v>12</v>
      </c>
      <c r="P20" s="5">
        <v>2265</v>
      </c>
    </row>
    <row r="21" ht="16.8" customHeight="1" spans="14:16" x14ac:dyDescent="0.25">
      <c r="N21" t="s">
        <v>23</v>
      </c>
      <c r="O21" t="s">
        <v>12</v>
      </c>
      <c r="P21" s="5">
        <v>1850</v>
      </c>
    </row>
    <row r="22" ht="16.8" customHeight="1" spans="14:16" x14ac:dyDescent="0.25">
      <c r="N22" t="s">
        <v>24</v>
      </c>
      <c r="O22" t="s">
        <v>25</v>
      </c>
      <c r="P22" s="5">
        <v>0</v>
      </c>
    </row>
    <row r="23" ht="16.8" customHeight="1" spans="14:16" x14ac:dyDescent="0.25">
      <c r="N23" t="s">
        <v>26</v>
      </c>
      <c r="O23" t="s">
        <v>25</v>
      </c>
      <c r="P23" s="5">
        <v>1195</v>
      </c>
    </row>
    <row r="24" ht="16.8" customHeight="1" spans="14:16" x14ac:dyDescent="0.25">
      <c r="N24" t="s">
        <v>27</v>
      </c>
      <c r="O24" t="s">
        <v>25</v>
      </c>
      <c r="P24" s="5">
        <v>1790</v>
      </c>
    </row>
    <row r="25" ht="16.8" customHeight="1" spans="14:16" x14ac:dyDescent="0.25">
      <c r="N25" t="s">
        <v>28</v>
      </c>
      <c r="O25" t="s">
        <v>25</v>
      </c>
      <c r="P25" s="5">
        <v>1670</v>
      </c>
    </row>
    <row r="26" ht="16.8" customHeight="1" spans="14:16" x14ac:dyDescent="0.25">
      <c r="N26" t="s">
        <v>29</v>
      </c>
      <c r="O26" t="s">
        <v>25</v>
      </c>
      <c r="P26" s="5">
        <v>1550</v>
      </c>
    </row>
    <row r="27" spans="14:16" x14ac:dyDescent="0.25">
      <c r="N27" t="s">
        <v>30</v>
      </c>
      <c r="O27" t="s">
        <v>25</v>
      </c>
      <c r="P27" s="5">
        <v>1315</v>
      </c>
    </row>
    <row r="28" spans="1:16" x14ac:dyDescent="0.25">
      <c r="A28" s="2" t="s">
        <v>31</v>
      </c>
      <c r="N28" t="s">
        <v>32</v>
      </c>
      <c r="O28" t="s">
        <v>25</v>
      </c>
      <c r="P28" s="5">
        <v>1790</v>
      </c>
    </row>
    <row r="29" spans="1:16" s="4" customFormat="1" x14ac:dyDescent="0.25">
      <c r="A29" s="4" t="s">
        <v>33</v>
      </c>
      <c r="B29" s="4" t="s">
        <v>34</v>
      </c>
      <c r="C29" s="4" t="s">
        <v>35</v>
      </c>
      <c r="D29" s="4" t="s">
        <v>36</v>
      </c>
      <c r="E29" s="4" t="s">
        <v>37</v>
      </c>
      <c r="F29" s="4" t="s">
        <v>38</v>
      </c>
      <c r="G29" s="4" t="s">
        <v>39</v>
      </c>
      <c r="H29" s="4" t="s">
        <v>40</v>
      </c>
      <c r="I29" s="4" t="s">
        <v>41</v>
      </c>
      <c r="J29" s="4" t="s">
        <v>42</v>
      </c>
      <c r="K29" s="4" t="s">
        <v>43</v>
      </c>
      <c r="L29" s="4" t="s">
        <v>44</v>
      </c>
      <c r="N29" s="4" t="s">
        <v>45</v>
      </c>
      <c r="O29" s="4" t="s">
        <v>25</v>
      </c>
      <c r="P29" s="6">
        <v>1550</v>
      </c>
    </row>
    <row r="30" spans="1:16" x14ac:dyDescent="0.25">
      <c r="A30">
        <v>1</v>
      </c>
      <c r="B30">
        <v>4</v>
      </c>
      <c r="C30">
        <v>2</v>
      </c>
      <c r="D30">
        <f>MAX(0,B30-C30)</f>
      </c>
      <c r="E30">
        <v>0</v>
      </c>
      <c r="F30">
        <f>IF(MOD(A30,10)=0,1,0)</f>
      </c>
      <c r="G30">
        <f>ROUND($O$2*LN(A30+$O$3),0)</f>
      </c>
      <c r="H30">
        <f>D30*$O$4</f>
      </c>
      <c r="I30">
        <f>IF(E30=1,$O$5,0)</f>
      </c>
      <c r="J30">
        <f>G30+H30+I30</f>
      </c>
      <c r="K30">
        <f>IF(F30=1,J30*$O$6,J30)</f>
      </c>
      <c r="L30">
        <f>IF(F30=1,G30*$O$6,G30)</f>
      </c>
      <c r="N30" t="s">
        <v>46</v>
      </c>
      <c r="O30" t="s">
        <v>25</v>
      </c>
      <c r="P30" s="5">
        <v>2150</v>
      </c>
    </row>
    <row r="31" spans="1:16" x14ac:dyDescent="0.25">
      <c r="A31">
        <v>2</v>
      </c>
      <c r="B31">
        <v>6</v>
      </c>
      <c r="C31">
        <v>5</v>
      </c>
      <c r="D31">
        <f>MAX(0,B31-C31)</f>
      </c>
      <c r="E31">
        <v>1</v>
      </c>
      <c r="F31">
        <f>IF(MOD(A31,10)=0,1,0)</f>
      </c>
      <c r="G31">
        <f>ROUND($O$2*LN(A31+$O$3),0)</f>
      </c>
      <c r="H31">
        <f>D31*$O$4</f>
      </c>
      <c r="I31">
        <f>IF(E31=1,$O$5,0)</f>
      </c>
      <c r="J31">
        <f>G31+H31+I31</f>
      </c>
      <c r="K31">
        <f>IF(F31=1,J31*$O$6,J31)</f>
      </c>
      <c r="L31">
        <f>IF(F31=1,G31*$O$6,G31)</f>
      </c>
      <c r="N31" t="s">
        <v>47</v>
      </c>
      <c r="O31" t="s">
        <v>25</v>
      </c>
      <c r="P31" s="5">
        <v>1430</v>
      </c>
    </row>
    <row r="32" spans="1:16" x14ac:dyDescent="0.25">
      <c r="A32">
        <v>3</v>
      </c>
      <c r="B32">
        <v>7</v>
      </c>
      <c r="C32">
        <v>6</v>
      </c>
      <c r="D32">
        <f>MAX(0,B32-C32)</f>
      </c>
      <c r="E32">
        <v>1</v>
      </c>
      <c r="F32">
        <f>IF(MOD(A32,10)=0,1,0)</f>
      </c>
      <c r="G32">
        <f>ROUND($O$2*LN(A32+$O$3),0)</f>
      </c>
      <c r="H32">
        <f>D32*$O$4</f>
      </c>
      <c r="I32">
        <f>IF(E32=1,$O$5,0)</f>
      </c>
      <c r="J32">
        <f>G32+H32+I32</f>
      </c>
      <c r="K32">
        <f>IF(F32=1,J32*$O$6,J32)</f>
      </c>
      <c r="L32">
        <f>IF(F32=1,G32*$O$6,G32)</f>
      </c>
      <c r="N32" t="s">
        <v>48</v>
      </c>
      <c r="O32" t="s">
        <v>25</v>
      </c>
      <c r="P32" s="5">
        <v>1195</v>
      </c>
    </row>
    <row r="33" spans="1:16" x14ac:dyDescent="0.25">
      <c r="A33">
        <v>4</v>
      </c>
      <c r="B33">
        <v>7</v>
      </c>
      <c r="C33">
        <v>7</v>
      </c>
      <c r="D33">
        <f>MAX(0,B33-C33)</f>
      </c>
      <c r="E33">
        <v>1</v>
      </c>
      <c r="F33">
        <f>IF(MOD(A33,10)=0,1,0)</f>
      </c>
      <c r="G33">
        <f>ROUND($O$2*LN(A33+$O$3),0)</f>
      </c>
      <c r="H33">
        <f>D33*$O$4</f>
      </c>
      <c r="I33">
        <f>IF(E33=1,$O$5,0)</f>
      </c>
      <c r="J33">
        <f>G33+H33+I33</f>
      </c>
      <c r="K33">
        <f>IF(F33=1,J33*$O$6,J33)</f>
      </c>
      <c r="L33">
        <f>IF(F33=1,G33*$O$6,G33)</f>
      </c>
      <c r="N33" t="s">
        <v>49</v>
      </c>
      <c r="O33" t="s">
        <v>50</v>
      </c>
      <c r="P33" s="5">
        <v>100</v>
      </c>
    </row>
    <row r="34" spans="1:16" x14ac:dyDescent="0.25">
      <c r="A34">
        <v>5</v>
      </c>
      <c r="B34">
        <v>6</v>
      </c>
      <c r="C34">
        <v>4</v>
      </c>
      <c r="D34">
        <f>MAX(0,B34-C34)</f>
      </c>
      <c r="E34">
        <v>1</v>
      </c>
      <c r="F34">
        <f>IF(MOD(A34,10)=0,1,0)</f>
      </c>
      <c r="G34">
        <f>ROUND($O$2*LN(A34+$O$3),0)</f>
      </c>
      <c r="H34">
        <f>D34*$O$4</f>
      </c>
      <c r="I34">
        <f>IF(E34=1,$O$5,0)</f>
      </c>
      <c r="J34">
        <f>G34+H34+I34</f>
      </c>
      <c r="K34">
        <f>IF(F34=1,J34*$O$6,J34)</f>
      </c>
      <c r="L34">
        <f>IF(F34=1,G34*$O$6,G34)</f>
      </c>
      <c r="N34" s="7" t="s">
        <v>51</v>
      </c>
      <c r="P34" s="8">
        <f>SUM(P10:P32)</f>
      </c>
    </row>
    <row r="35" spans="1:16" x14ac:dyDescent="0.25">
      <c r="A35">
        <v>6</v>
      </c>
      <c r="B35">
        <v>7</v>
      </c>
      <c r="C35">
        <v>5</v>
      </c>
      <c r="D35">
        <f>MAX(0,B35-C35)</f>
      </c>
      <c r="E35">
        <v>1</v>
      </c>
      <c r="F35">
        <f>IF(MOD(A35,10)=0,1,0)</f>
      </c>
      <c r="G35">
        <f>ROUND($O$2*LN(A35+$O$3),0)</f>
      </c>
      <c r="H35">
        <f>D35*$O$4</f>
      </c>
      <c r="I35">
        <f>IF(E35=1,$O$5,0)</f>
      </c>
      <c r="J35">
        <f>G35+H35+I35</f>
      </c>
      <c r="K35">
        <f>IF(F35=1,J35*$O$6,J35)</f>
      </c>
      <c r="L35">
        <f>IF(F35=1,G35*$O$6,G35)</f>
      </c>
      <c r="N35" s="7" t="s">
        <v>52</v>
      </c>
      <c r="P35" s="9">
        <f>MIN(P11:P21,P23:P32)</f>
      </c>
    </row>
    <row r="36" spans="1:16" x14ac:dyDescent="0.25">
      <c r="A36">
        <v>7</v>
      </c>
      <c r="B36">
        <v>8</v>
      </c>
      <c r="C36">
        <v>6</v>
      </c>
      <c r="D36">
        <f>MAX(0,B36-C36)</f>
      </c>
      <c r="E36">
        <v>1</v>
      </c>
      <c r="F36">
        <f>IF(MOD(A36,10)=0,1,0)</f>
      </c>
      <c r="G36">
        <f>ROUND($O$2*LN(A36+$O$3),0)</f>
      </c>
      <c r="H36">
        <f>D36*$O$4</f>
      </c>
      <c r="I36">
        <f>IF(E36=1,$O$5,0)</f>
      </c>
      <c r="J36">
        <f>G36+H36+I36</f>
      </c>
      <c r="K36">
        <f>IF(F36=1,J36*$O$6,J36)</f>
      </c>
      <c r="L36">
        <f>IF(F36=1,G36*$O$6,G36)</f>
      </c>
      <c r="N36" t="s">
        <v>53</v>
      </c>
      <c r="P36" s="10">
        <f>P33/5</f>
      </c>
    </row>
    <row r="37" spans="1:12" x14ac:dyDescent="0.25">
      <c r="A37">
        <v>8</v>
      </c>
      <c r="B37">
        <v>5</v>
      </c>
      <c r="C37">
        <v>3</v>
      </c>
      <c r="D37">
        <f>MAX(0,B37-C37)</f>
      </c>
      <c r="E37">
        <v>1</v>
      </c>
      <c r="F37">
        <f>IF(MOD(A37,10)=0,1,0)</f>
      </c>
      <c r="G37">
        <f>ROUND($O$2*LN(A37+$O$3),0)</f>
      </c>
      <c r="H37">
        <f>D37*$O$4</f>
      </c>
      <c r="I37">
        <f>IF(E37=1,$O$5,0)</f>
      </c>
      <c r="J37">
        <f>G37+H37+I37</f>
      </c>
      <c r="K37">
        <f>IF(F37=1,J37*$O$6,J37)</f>
      </c>
      <c r="L37">
        <f>IF(F37=1,G37*$O$6,G37)</f>
      </c>
    </row>
    <row r="38" spans="1:14" x14ac:dyDescent="0.25">
      <c r="A38">
        <v>9</v>
      </c>
      <c r="B38">
        <v>7</v>
      </c>
      <c r="C38">
        <v>5</v>
      </c>
      <c r="D38">
        <f>MAX(0,B38-C38)</f>
      </c>
      <c r="E38">
        <v>1</v>
      </c>
      <c r="F38">
        <f>IF(MOD(A38,10)=0,1,0)</f>
      </c>
      <c r="G38">
        <f>ROUND($O$2*LN(A38+$O$3),0)</f>
      </c>
      <c r="H38">
        <f>D38*$O$4</f>
      </c>
      <c r="I38">
        <f>IF(E38=1,$O$5,0)</f>
      </c>
      <c r="J38">
        <f>G38+H38+I38</f>
      </c>
      <c r="K38">
        <f>IF(F38=1,J38*$O$6,J38)</f>
      </c>
      <c r="L38">
        <f>IF(F38=1,G38*$O$6,G38)</f>
      </c>
      <c r="N38" s="2" t="s">
        <v>54</v>
      </c>
    </row>
    <row r="39" spans="1:16" x14ac:dyDescent="0.25">
      <c r="A39">
        <v>10</v>
      </c>
      <c r="B39">
        <v>9</v>
      </c>
      <c r="C39">
        <v>7</v>
      </c>
      <c r="D39">
        <f>MAX(0,B39-C39)</f>
      </c>
      <c r="E39">
        <v>1</v>
      </c>
      <c r="F39">
        <f>IF(MOD(A39,10)=0,1,0)</f>
      </c>
      <c r="G39">
        <f>ROUND($O$2*LN(A39+$O$3),0)</f>
      </c>
      <c r="H39">
        <f>D39*$O$4</f>
      </c>
      <c r="I39">
        <f>IF(E39=1,$O$5,0)</f>
      </c>
      <c r="J39">
        <f>G39+H39+I39</f>
      </c>
      <c r="K39">
        <f>IF(F39=1,J39*$O$6,J39)</f>
      </c>
      <c r="L39">
        <f>IF(F39=1,G39*$O$6,G39)</f>
      </c>
      <c r="N39" t="s">
        <v>55</v>
      </c>
      <c r="P39" s="11">
        <f>K80</f>
      </c>
    </row>
    <row r="40" spans="1:16" x14ac:dyDescent="0.25">
      <c r="A40">
        <v>11</v>
      </c>
      <c r="B40">
        <v>9</v>
      </c>
      <c r="C40">
        <v>8</v>
      </c>
      <c r="D40">
        <f>MAX(0,B40-C40)</f>
      </c>
      <c r="E40">
        <v>1</v>
      </c>
      <c r="F40">
        <f>IF(MOD(A40,10)=0,1,0)</f>
      </c>
      <c r="G40">
        <f>ROUND($O$2*LN(A40+$O$3),0)</f>
      </c>
      <c r="H40">
        <f>D40*$O$4</f>
      </c>
      <c r="I40">
        <f>IF(E40=1,$O$5,0)</f>
      </c>
      <c r="J40">
        <f>G40+H40+I40</f>
      </c>
      <c r="K40">
        <f>IF(F40=1,J40*$O$6,J40)</f>
      </c>
      <c r="L40">
        <f>IF(F40=1,G40*$O$6,G40)</f>
      </c>
      <c r="N40" t="s">
        <v>56</v>
      </c>
      <c r="P40" s="11">
        <f>L80</f>
      </c>
    </row>
    <row r="41" spans="1:16" x14ac:dyDescent="0.25">
      <c r="A41">
        <v>12</v>
      </c>
      <c r="B41">
        <v>7</v>
      </c>
      <c r="C41">
        <v>6</v>
      </c>
      <c r="D41">
        <f>MAX(0,B41-C41)</f>
      </c>
      <c r="E41">
        <v>1</v>
      </c>
      <c r="F41">
        <f>IF(MOD(A41,10)=0,1,0)</f>
      </c>
      <c r="G41">
        <f>ROUND($O$2*LN(A41+$O$3),0)</f>
      </c>
      <c r="H41">
        <f>D41*$O$4</f>
      </c>
      <c r="I41">
        <f>IF(E41=1,$O$5,0)</f>
      </c>
      <c r="J41">
        <f>G41+H41+I41</f>
      </c>
      <c r="K41">
        <f>IF(F41=1,J41*$O$6,J41)</f>
      </c>
      <c r="L41">
        <f>IF(F41=1,G41*$O$6,G41)</f>
      </c>
      <c r="N41" t="s">
        <v>57</v>
      </c>
      <c r="P41" s="11">
        <f>L81</f>
      </c>
    </row>
    <row r="42" spans="1:16" x14ac:dyDescent="0.25">
      <c r="A42">
        <v>13</v>
      </c>
      <c r="B42">
        <v>8</v>
      </c>
      <c r="C42">
        <v>7</v>
      </c>
      <c r="D42">
        <f>MAX(0,B42-C42)</f>
      </c>
      <c r="E42">
        <v>1</v>
      </c>
      <c r="F42">
        <f>IF(MOD(A42,10)=0,1,0)</f>
      </c>
      <c r="G42">
        <f>ROUND($O$2*LN(A42+$O$3),0)</f>
      </c>
      <c r="H42">
        <f>D42*$O$4</f>
      </c>
      <c r="I42">
        <f>IF(E42=1,$O$5,0)</f>
      </c>
      <c r="J42">
        <f>G42+H42+I42</f>
      </c>
      <c r="K42">
        <f>IF(F42=1,J42*$O$6,J42)</f>
      </c>
      <c r="L42">
        <f>IF(F42=1,G42*$O$6,G42)</f>
      </c>
      <c r="N42" t="s">
        <v>58</v>
      </c>
      <c r="P42" s="11">
        <f>P35</f>
      </c>
    </row>
    <row r="43" spans="1:16" x14ac:dyDescent="0.25">
      <c r="A43">
        <v>14</v>
      </c>
      <c r="B43">
        <v>9</v>
      </c>
      <c r="C43">
        <v>8</v>
      </c>
      <c r="D43">
        <f>MAX(0,B43-C43)</f>
      </c>
      <c r="E43">
        <v>1</v>
      </c>
      <c r="F43">
        <f>IF(MOD(A43,10)=0,1,0)</f>
      </c>
      <c r="G43">
        <f>ROUND($O$2*LN(A43+$O$3),0)</f>
      </c>
      <c r="H43">
        <f>D43*$O$4</f>
      </c>
      <c r="I43">
        <f>IF(E43=1,$O$5,0)</f>
      </c>
      <c r="J43">
        <f>G43+H43+I43</f>
      </c>
      <c r="K43">
        <f>IF(F43=1,J43*$O$6,J43)</f>
      </c>
      <c r="L43">
        <f>IF(F43=1,G43*$O$6,G43)</f>
      </c>
      <c r="N43" t="s">
        <v>59</v>
      </c>
      <c r="P43" s="12">
        <f>IF(P41&gt;=P42,"PASS ✓","FAIL ✗")</f>
      </c>
    </row>
    <row r="44" spans="1:12" x14ac:dyDescent="0.25">
      <c r="A44">
        <v>15</v>
      </c>
      <c r="B44">
        <v>8</v>
      </c>
      <c r="C44">
        <v>7</v>
      </c>
      <c r="D44">
        <f>MAX(0,B44-C44)</f>
      </c>
      <c r="E44">
        <v>1</v>
      </c>
      <c r="F44">
        <f>IF(MOD(A44,10)=0,1,0)</f>
      </c>
      <c r="G44">
        <f>ROUND($O$2*LN(A44+$O$3),0)</f>
      </c>
      <c r="H44">
        <f>D44*$O$4</f>
      </c>
      <c r="I44">
        <f>IF(E44=1,$O$5,0)</f>
      </c>
      <c r="J44">
        <f>G44+H44+I44</f>
      </c>
      <c r="K44">
        <f>IF(F44=1,J44*$O$6,J44)</f>
      </c>
      <c r="L44">
        <f>IF(F44=1,G44*$O$6,G44)</f>
      </c>
    </row>
    <row r="45" spans="1:16" x14ac:dyDescent="0.25">
      <c r="A45">
        <v>16</v>
      </c>
      <c r="B45">
        <v>10</v>
      </c>
      <c r="C45">
        <v>9</v>
      </c>
      <c r="D45">
        <f>MAX(0,B45-C45)</f>
      </c>
      <c r="E45">
        <v>1</v>
      </c>
      <c r="F45">
        <f>IF(MOD(A45,10)=0,1,0)</f>
      </c>
      <c r="G45">
        <f>ROUND($O$2*LN(A45+$O$3),0)</f>
      </c>
      <c r="H45">
        <f>D45*$O$4</f>
      </c>
      <c r="I45">
        <f>IF(E45=1,$O$5,0)</f>
      </c>
      <c r="J45">
        <f>G45+H45+I45</f>
      </c>
      <c r="K45">
        <f>IF(F45=1,J45*$O$6,J45)</f>
      </c>
      <c r="L45">
        <f>IF(F45=1,G45*$O$6,G45)</f>
      </c>
      <c r="N45" s="13" t="s">
        <v>60</v>
      </c>
      <c r="O45" s="13"/>
      <c r="P45" s="13"/>
    </row>
    <row r="46" spans="1:12" x14ac:dyDescent="0.25">
      <c r="A46">
        <v>17</v>
      </c>
      <c r="B46">
        <v>9</v>
      </c>
      <c r="C46">
        <v>8</v>
      </c>
      <c r="D46">
        <f>MAX(0,B46-C46)</f>
      </c>
      <c r="E46">
        <v>1</v>
      </c>
      <c r="F46">
        <f>IF(MOD(A46,10)=0,1,0)</f>
      </c>
      <c r="G46">
        <f>ROUND($O$2*LN(A46+$O$3),0)</f>
      </c>
      <c r="H46">
        <f>D46*$O$4</f>
      </c>
      <c r="I46">
        <f>IF(E46=1,$O$5,0)</f>
      </c>
      <c r="J46">
        <f>G46+H46+I46</f>
      </c>
      <c r="K46">
        <f>IF(F46=1,J46*$O$6,J46)</f>
      </c>
      <c r="L46">
        <f>IF(F46=1,G46*$O$6,G46)</f>
      </c>
    </row>
    <row r="47" spans="1:12" x14ac:dyDescent="0.25">
      <c r="A47">
        <v>18</v>
      </c>
      <c r="B47">
        <v>8</v>
      </c>
      <c r="C47">
        <v>8</v>
      </c>
      <c r="D47">
        <f>MAX(0,B47-C47)</f>
      </c>
      <c r="E47">
        <v>1</v>
      </c>
      <c r="F47">
        <f>IF(MOD(A47,10)=0,1,0)</f>
      </c>
      <c r="G47">
        <f>ROUND($O$2*LN(A47+$O$3),0)</f>
      </c>
      <c r="H47">
        <f>D47*$O$4</f>
      </c>
      <c r="I47">
        <f>IF(E47=1,$O$5,0)</f>
      </c>
      <c r="J47">
        <f>G47+H47+I47</f>
      </c>
      <c r="K47">
        <f>IF(F47=1,J47*$O$6,J47)</f>
      </c>
      <c r="L47">
        <f>IF(F47=1,G47*$O$6,G47)</f>
      </c>
    </row>
    <row r="48" spans="1:12" x14ac:dyDescent="0.25">
      <c r="A48">
        <v>19</v>
      </c>
      <c r="B48">
        <v>10</v>
      </c>
      <c r="C48">
        <v>9</v>
      </c>
      <c r="D48">
        <f>MAX(0,B48-C48)</f>
      </c>
      <c r="E48">
        <v>1</v>
      </c>
      <c r="F48">
        <f>IF(MOD(A48,10)=0,1,0)</f>
      </c>
      <c r="G48">
        <f>ROUND($O$2*LN(A48+$O$3),0)</f>
      </c>
      <c r="H48">
        <f>D48*$O$4</f>
      </c>
      <c r="I48">
        <f>IF(E48=1,$O$5,0)</f>
      </c>
      <c r="J48">
        <f>G48+H48+I48</f>
      </c>
      <c r="K48">
        <f>IF(F48=1,J48*$O$6,J48)</f>
      </c>
      <c r="L48">
        <f>IF(F48=1,G48*$O$6,G48)</f>
      </c>
    </row>
    <row r="49" spans="1:12" x14ac:dyDescent="0.25">
      <c r="A49">
        <v>20</v>
      </c>
      <c r="B49">
        <v>11</v>
      </c>
      <c r="C49">
        <v>8</v>
      </c>
      <c r="D49">
        <f>MAX(0,B49-C49)</f>
      </c>
      <c r="E49">
        <v>1</v>
      </c>
      <c r="F49">
        <f>IF(MOD(A49,10)=0,1,0)</f>
      </c>
      <c r="G49">
        <f>ROUND($O$2*LN(A49+$O$3),0)</f>
      </c>
      <c r="H49">
        <f>D49*$O$4</f>
      </c>
      <c r="I49">
        <f>IF(E49=1,$O$5,0)</f>
      </c>
      <c r="J49">
        <f>G49+H49+I49</f>
      </c>
      <c r="K49">
        <f>IF(F49=1,J49*$O$6,J49)</f>
      </c>
      <c r="L49">
        <f>IF(F49=1,G49*$O$6,G49)</f>
      </c>
    </row>
    <row r="50" spans="1:12" x14ac:dyDescent="0.25">
      <c r="A50">
        <v>21</v>
      </c>
      <c r="B50">
        <v>7</v>
      </c>
      <c r="C50">
        <v>5</v>
      </c>
      <c r="D50">
        <f>MAX(0,B50-C50)</f>
      </c>
      <c r="E50">
        <v>1</v>
      </c>
      <c r="F50">
        <f>IF(MOD(A50,10)=0,1,0)</f>
      </c>
      <c r="G50">
        <f>ROUND($O$2*LN(A50+$O$3),0)</f>
      </c>
      <c r="H50">
        <f>D50*$O$4</f>
      </c>
      <c r="I50">
        <f>IF(E50=1,$O$5,0)</f>
      </c>
      <c r="J50">
        <f>G50+H50+I50</f>
      </c>
      <c r="K50">
        <f>IF(F50=1,J50*$O$6,J50)</f>
      </c>
      <c r="L50">
        <f>IF(F50=1,G50*$O$6,G50)</f>
      </c>
    </row>
    <row r="51" spans="1:12" x14ac:dyDescent="0.25">
      <c r="A51">
        <v>22</v>
      </c>
      <c r="B51">
        <v>11</v>
      </c>
      <c r="C51">
        <v>11</v>
      </c>
      <c r="D51">
        <f>MAX(0,B51-C51)</f>
      </c>
      <c r="E51">
        <v>1</v>
      </c>
      <c r="F51">
        <f>IF(MOD(A51,10)=0,1,0)</f>
      </c>
      <c r="G51">
        <f>ROUND($O$2*LN(A51+$O$3),0)</f>
      </c>
      <c r="H51">
        <f>D51*$O$4</f>
      </c>
      <c r="I51">
        <f>IF(E51=1,$O$5,0)</f>
      </c>
      <c r="J51">
        <f>G51+H51+I51</f>
      </c>
      <c r="K51">
        <f>IF(F51=1,J51*$O$6,J51)</f>
      </c>
      <c r="L51">
        <f>IF(F51=1,G51*$O$6,G51)</f>
      </c>
    </row>
    <row r="52" spans="1:12" x14ac:dyDescent="0.25">
      <c r="A52">
        <v>23</v>
      </c>
      <c r="B52">
        <v>11</v>
      </c>
      <c r="C52">
        <v>11</v>
      </c>
      <c r="D52">
        <f>MAX(0,B52-C52)</f>
      </c>
      <c r="E52">
        <v>1</v>
      </c>
      <c r="F52">
        <f>IF(MOD(A52,10)=0,1,0)</f>
      </c>
      <c r="G52">
        <f>ROUND($O$2*LN(A52+$O$3),0)</f>
      </c>
      <c r="H52">
        <f>D52*$O$4</f>
      </c>
      <c r="I52">
        <f>IF(E52=1,$O$5,0)</f>
      </c>
      <c r="J52">
        <f>G52+H52+I52</f>
      </c>
      <c r="K52">
        <f>IF(F52=1,J52*$O$6,J52)</f>
      </c>
      <c r="L52">
        <f>IF(F52=1,G52*$O$6,G52)</f>
      </c>
    </row>
    <row r="53" spans="1:12" x14ac:dyDescent="0.25">
      <c r="A53">
        <v>24</v>
      </c>
      <c r="B53">
        <v>8</v>
      </c>
      <c r="C53">
        <v>6</v>
      </c>
      <c r="D53">
        <f>MAX(0,B53-C53)</f>
      </c>
      <c r="E53">
        <v>1</v>
      </c>
      <c r="F53">
        <f>IF(MOD(A53,10)=0,1,0)</f>
      </c>
      <c r="G53">
        <f>ROUND($O$2*LN(A53+$O$3),0)</f>
      </c>
      <c r="H53">
        <f>D53*$O$4</f>
      </c>
      <c r="I53">
        <f>IF(E53=1,$O$5,0)</f>
      </c>
      <c r="J53">
        <f>G53+H53+I53</f>
      </c>
      <c r="K53">
        <f>IF(F53=1,J53*$O$6,J53)</f>
      </c>
      <c r="L53">
        <f>IF(F53=1,G53*$O$6,G53)</f>
      </c>
    </row>
    <row r="54" spans="1:12" x14ac:dyDescent="0.25">
      <c r="A54">
        <v>25</v>
      </c>
      <c r="B54">
        <v>7</v>
      </c>
      <c r="C54">
        <v>5</v>
      </c>
      <c r="D54">
        <f>MAX(0,B54-C54)</f>
      </c>
      <c r="E54">
        <v>1</v>
      </c>
      <c r="F54">
        <f>IF(MOD(A54,10)=0,1,0)</f>
      </c>
      <c r="G54">
        <f>ROUND($O$2*LN(A54+$O$3),0)</f>
      </c>
      <c r="H54">
        <f>D54*$O$4</f>
      </c>
      <c r="I54">
        <f>IF(E54=1,$O$5,0)</f>
      </c>
      <c r="J54">
        <f>G54+H54+I54</f>
      </c>
      <c r="K54">
        <f>IF(F54=1,J54*$O$6,J54)</f>
      </c>
      <c r="L54">
        <f>IF(F54=1,G54*$O$6,G54)</f>
      </c>
    </row>
    <row r="55" spans="1:12" x14ac:dyDescent="0.25">
      <c r="A55">
        <v>26</v>
      </c>
      <c r="B55">
        <v>8</v>
      </c>
      <c r="C55">
        <v>6</v>
      </c>
      <c r="D55">
        <f>MAX(0,B55-C55)</f>
      </c>
      <c r="E55">
        <v>1</v>
      </c>
      <c r="F55">
        <f>IF(MOD(A55,10)=0,1,0)</f>
      </c>
      <c r="G55">
        <f>ROUND($O$2*LN(A55+$O$3),0)</f>
      </c>
      <c r="H55">
        <f>D55*$O$4</f>
      </c>
      <c r="I55">
        <f>IF(E55=1,$O$5,0)</f>
      </c>
      <c r="J55">
        <f>G55+H55+I55</f>
      </c>
      <c r="K55">
        <f>IF(F55=1,J55*$O$6,J55)</f>
      </c>
      <c r="L55">
        <f>IF(F55=1,G55*$O$6,G55)</f>
      </c>
    </row>
    <row r="56" spans="1:12" x14ac:dyDescent="0.25">
      <c r="A56">
        <v>27</v>
      </c>
      <c r="B56">
        <v>10</v>
      </c>
      <c r="C56">
        <v>9</v>
      </c>
      <c r="D56">
        <f>MAX(0,B56-C56)</f>
      </c>
      <c r="E56">
        <v>1</v>
      </c>
      <c r="F56">
        <f>IF(MOD(A56,10)=0,1,0)</f>
      </c>
      <c r="G56">
        <f>ROUND($O$2*LN(A56+$O$3),0)</f>
      </c>
      <c r="H56">
        <f>D56*$O$4</f>
      </c>
      <c r="I56">
        <f>IF(E56=1,$O$5,0)</f>
      </c>
      <c r="J56">
        <f>G56+H56+I56</f>
      </c>
      <c r="K56">
        <f>IF(F56=1,J56*$O$6,J56)</f>
      </c>
      <c r="L56">
        <f>IF(F56=1,G56*$O$6,G56)</f>
      </c>
    </row>
    <row r="57" spans="1:12" x14ac:dyDescent="0.25">
      <c r="A57">
        <v>28</v>
      </c>
      <c r="B57">
        <v>10</v>
      </c>
      <c r="C57">
        <v>8</v>
      </c>
      <c r="D57">
        <f>MAX(0,B57-C57)</f>
      </c>
      <c r="E57">
        <v>1</v>
      </c>
      <c r="F57">
        <f>IF(MOD(A57,10)=0,1,0)</f>
      </c>
      <c r="G57">
        <f>ROUND($O$2*LN(A57+$O$3),0)</f>
      </c>
      <c r="H57">
        <f>D57*$O$4</f>
      </c>
      <c r="I57">
        <f>IF(E57=1,$O$5,0)</f>
      </c>
      <c r="J57">
        <f>G57+H57+I57</f>
      </c>
      <c r="K57">
        <f>IF(F57=1,J57*$O$6,J57)</f>
      </c>
      <c r="L57">
        <f>IF(F57=1,G57*$O$6,G57)</f>
      </c>
    </row>
    <row r="58" spans="1:12" x14ac:dyDescent="0.25">
      <c r="A58">
        <v>29</v>
      </c>
      <c r="B58">
        <v>8</v>
      </c>
      <c r="C58">
        <v>6</v>
      </c>
      <c r="D58">
        <f>MAX(0,B58-C58)</f>
      </c>
      <c r="E58">
        <v>1</v>
      </c>
      <c r="F58">
        <f>IF(MOD(A58,10)=0,1,0)</f>
      </c>
      <c r="G58">
        <f>ROUND($O$2*LN(A58+$O$3),0)</f>
      </c>
      <c r="H58">
        <f>D58*$O$4</f>
      </c>
      <c r="I58">
        <f>IF(E58=1,$O$5,0)</f>
      </c>
      <c r="J58">
        <f>G58+H58+I58</f>
      </c>
      <c r="K58">
        <f>IF(F58=1,J58*$O$6,J58)</f>
      </c>
      <c r="L58">
        <f>IF(F58=1,G58*$O$6,G58)</f>
      </c>
    </row>
    <row r="59" spans="1:12" x14ac:dyDescent="0.25">
      <c r="A59">
        <v>30</v>
      </c>
      <c r="B59">
        <v>9</v>
      </c>
      <c r="C59">
        <v>8</v>
      </c>
      <c r="D59">
        <f>MAX(0,B59-C59)</f>
      </c>
      <c r="E59">
        <v>1</v>
      </c>
      <c r="F59">
        <f>IF(MOD(A59,10)=0,1,0)</f>
      </c>
      <c r="G59">
        <f>ROUND($O$2*LN(A59+$O$3),0)</f>
      </c>
      <c r="H59">
        <f>D59*$O$4</f>
      </c>
      <c r="I59">
        <f>IF(E59=1,$O$5,0)</f>
      </c>
      <c r="J59">
        <f>G59+H59+I59</f>
      </c>
      <c r="K59">
        <f>IF(F59=1,J59*$O$6,J59)</f>
      </c>
      <c r="L59">
        <f>IF(F59=1,G59*$O$6,G59)</f>
      </c>
    </row>
    <row r="60" spans="1:12" x14ac:dyDescent="0.25">
      <c r="A60">
        <v>31</v>
      </c>
      <c r="B60">
        <v>9</v>
      </c>
      <c r="C60">
        <v>9</v>
      </c>
      <c r="D60">
        <f>MAX(0,B60-C60)</f>
      </c>
      <c r="E60">
        <v>1</v>
      </c>
      <c r="F60">
        <f>IF(MOD(A60,10)=0,1,0)</f>
      </c>
      <c r="G60">
        <f>ROUND($O$2*LN(A60+$O$3),0)</f>
      </c>
      <c r="H60">
        <f>D60*$O$4</f>
      </c>
      <c r="I60">
        <f>IF(E60=1,$O$5,0)</f>
      </c>
      <c r="J60">
        <f>G60+H60+I60</f>
      </c>
      <c r="K60">
        <f>IF(F60=1,J60*$O$6,J60)</f>
      </c>
      <c r="L60">
        <f>IF(F60=1,G60*$O$6,G60)</f>
      </c>
    </row>
    <row r="61" spans="1:12" x14ac:dyDescent="0.25">
      <c r="A61">
        <v>32</v>
      </c>
      <c r="B61">
        <v>7</v>
      </c>
      <c r="C61">
        <v>6</v>
      </c>
      <c r="D61">
        <f>MAX(0,B61-C61)</f>
      </c>
      <c r="E61">
        <v>1</v>
      </c>
      <c r="F61">
        <f>IF(MOD(A61,10)=0,1,0)</f>
      </c>
      <c r="G61">
        <f>ROUND($O$2*LN(A61+$O$3),0)</f>
      </c>
      <c r="H61">
        <f>D61*$O$4</f>
      </c>
      <c r="I61">
        <f>IF(E61=1,$O$5,0)</f>
      </c>
      <c r="J61">
        <f>G61+H61+I61</f>
      </c>
      <c r="K61">
        <f>IF(F61=1,J61*$O$6,J61)</f>
      </c>
      <c r="L61">
        <f>IF(F61=1,G61*$O$6,G61)</f>
      </c>
    </row>
    <row r="62" spans="1:12" x14ac:dyDescent="0.25">
      <c r="A62">
        <v>33</v>
      </c>
      <c r="B62">
        <v>6</v>
      </c>
      <c r="C62">
        <v>5</v>
      </c>
      <c r="D62">
        <f>MAX(0,B62-C62)</f>
      </c>
      <c r="E62">
        <v>1</v>
      </c>
      <c r="F62">
        <f>IF(MOD(A62,10)=0,1,0)</f>
      </c>
      <c r="G62">
        <f>ROUND($O$2*LN(A62+$O$3),0)</f>
      </c>
      <c r="H62">
        <f>D62*$O$4</f>
      </c>
      <c r="I62">
        <f>IF(E62=1,$O$5,0)</f>
      </c>
      <c r="J62">
        <f>G62+H62+I62</f>
      </c>
      <c r="K62">
        <f>IF(F62=1,J62*$O$6,J62)</f>
      </c>
      <c r="L62">
        <f>IF(F62=1,G62*$O$6,G62)</f>
      </c>
    </row>
    <row r="63" spans="1:12" x14ac:dyDescent="0.25">
      <c r="A63">
        <v>34</v>
      </c>
      <c r="B63">
        <v>7</v>
      </c>
      <c r="C63">
        <v>7</v>
      </c>
      <c r="D63">
        <f>MAX(0,B63-C63)</f>
      </c>
      <c r="E63">
        <v>1</v>
      </c>
      <c r="F63">
        <f>IF(MOD(A63,10)=0,1,0)</f>
      </c>
      <c r="G63">
        <f>ROUND($O$2*LN(A63+$O$3),0)</f>
      </c>
      <c r="H63">
        <f>D63*$O$4</f>
      </c>
      <c r="I63">
        <f>IF(E63=1,$O$5,0)</f>
      </c>
      <c r="J63">
        <f>G63+H63+I63</f>
      </c>
      <c r="K63">
        <f>IF(F63=1,J63*$O$6,J63)</f>
      </c>
      <c r="L63">
        <f>IF(F63=1,G63*$O$6,G63)</f>
      </c>
    </row>
    <row r="64" spans="1:12" x14ac:dyDescent="0.25">
      <c r="A64">
        <v>35</v>
      </c>
      <c r="B64">
        <v>7</v>
      </c>
      <c r="C64">
        <v>6</v>
      </c>
      <c r="D64">
        <f>MAX(0,B64-C64)</f>
      </c>
      <c r="E64">
        <v>1</v>
      </c>
      <c r="F64">
        <f>IF(MOD(A64,10)=0,1,0)</f>
      </c>
      <c r="G64">
        <f>ROUND($O$2*LN(A64+$O$3),0)</f>
      </c>
      <c r="H64">
        <f>D64*$O$4</f>
      </c>
      <c r="I64">
        <f>IF(E64=1,$O$5,0)</f>
      </c>
      <c r="J64">
        <f>G64+H64+I64</f>
      </c>
      <c r="K64">
        <f>IF(F64=1,J64*$O$6,J64)</f>
      </c>
      <c r="L64">
        <f>IF(F64=1,G64*$O$6,G64)</f>
      </c>
    </row>
    <row r="65" spans="1:12" x14ac:dyDescent="0.25">
      <c r="A65">
        <v>36</v>
      </c>
      <c r="B65">
        <v>8</v>
      </c>
      <c r="C65">
        <v>7</v>
      </c>
      <c r="D65">
        <f>MAX(0,B65-C65)</f>
      </c>
      <c r="E65">
        <v>1</v>
      </c>
      <c r="F65">
        <f>IF(MOD(A65,10)=0,1,0)</f>
      </c>
      <c r="G65">
        <f>ROUND($O$2*LN(A65+$O$3),0)</f>
      </c>
      <c r="H65">
        <f>D65*$O$4</f>
      </c>
      <c r="I65">
        <f>IF(E65=1,$O$5,0)</f>
      </c>
      <c r="J65">
        <f>G65+H65+I65</f>
      </c>
      <c r="K65">
        <f>IF(F65=1,J65*$O$6,J65)</f>
      </c>
      <c r="L65">
        <f>IF(F65=1,G65*$O$6,G65)</f>
      </c>
    </row>
    <row r="66" spans="1:12" x14ac:dyDescent="0.25">
      <c r="A66">
        <v>37</v>
      </c>
      <c r="B66">
        <v>6</v>
      </c>
      <c r="C66">
        <v>5</v>
      </c>
      <c r="D66">
        <f>MAX(0,B66-C66)</f>
      </c>
      <c r="E66">
        <v>1</v>
      </c>
      <c r="F66">
        <f>IF(MOD(A66,10)=0,1,0)</f>
      </c>
      <c r="G66">
        <f>ROUND($O$2*LN(A66+$O$3),0)</f>
      </c>
      <c r="H66">
        <f>D66*$O$4</f>
      </c>
      <c r="I66">
        <f>IF(E66=1,$O$5,0)</f>
      </c>
      <c r="J66">
        <f>G66+H66+I66</f>
      </c>
      <c r="K66">
        <f>IF(F66=1,J66*$O$6,J66)</f>
      </c>
      <c r="L66">
        <f>IF(F66=1,G66*$O$6,G66)</f>
      </c>
    </row>
    <row r="67" spans="1:12" x14ac:dyDescent="0.25">
      <c r="A67">
        <v>38</v>
      </c>
      <c r="B67">
        <v>6</v>
      </c>
      <c r="C67">
        <v>5</v>
      </c>
      <c r="D67">
        <f>MAX(0,B67-C67)</f>
      </c>
      <c r="E67">
        <v>1</v>
      </c>
      <c r="F67">
        <f>IF(MOD(A67,10)=0,1,0)</f>
      </c>
      <c r="G67">
        <f>ROUND($O$2*LN(A67+$O$3),0)</f>
      </c>
      <c r="H67">
        <f>D67*$O$4</f>
      </c>
      <c r="I67">
        <f>IF(E67=1,$O$5,0)</f>
      </c>
      <c r="J67">
        <f>G67+H67+I67</f>
      </c>
      <c r="K67">
        <f>IF(F67=1,J67*$O$6,J67)</f>
      </c>
      <c r="L67">
        <f>IF(F67=1,G67*$O$6,G67)</f>
      </c>
    </row>
    <row r="68" spans="1:12" x14ac:dyDescent="0.25">
      <c r="A68">
        <v>39</v>
      </c>
      <c r="B68">
        <v>8</v>
      </c>
      <c r="C68">
        <v>7</v>
      </c>
      <c r="D68">
        <f>MAX(0,B68-C68)</f>
      </c>
      <c r="E68">
        <v>1</v>
      </c>
      <c r="F68">
        <f>IF(MOD(A68,10)=0,1,0)</f>
      </c>
      <c r="G68">
        <f>ROUND($O$2*LN(A68+$O$3),0)</f>
      </c>
      <c r="H68">
        <f>D68*$O$4</f>
      </c>
      <c r="I68">
        <f>IF(E68=1,$O$5,0)</f>
      </c>
      <c r="J68">
        <f>G68+H68+I68</f>
      </c>
      <c r="K68">
        <f>IF(F68=1,J68*$O$6,J68)</f>
      </c>
      <c r="L68">
        <f>IF(F68=1,G68*$O$6,G68)</f>
      </c>
    </row>
    <row r="69" spans="1:12" x14ac:dyDescent="0.25">
      <c r="A69">
        <v>40</v>
      </c>
      <c r="B69">
        <v>7</v>
      </c>
      <c r="C69">
        <v>6</v>
      </c>
      <c r="D69">
        <f>MAX(0,B69-C69)</f>
      </c>
      <c r="E69">
        <v>1</v>
      </c>
      <c r="F69">
        <f>IF(MOD(A69,10)=0,1,0)</f>
      </c>
      <c r="G69">
        <f>ROUND($O$2*LN(A69+$O$3),0)</f>
      </c>
      <c r="H69">
        <f>D69*$O$4</f>
      </c>
      <c r="I69">
        <f>IF(E69=1,$O$5,0)</f>
      </c>
      <c r="J69">
        <f>G69+H69+I69</f>
      </c>
      <c r="K69">
        <f>IF(F69=1,J69*$O$6,J69)</f>
      </c>
      <c r="L69">
        <f>IF(F69=1,G69*$O$6,G69)</f>
      </c>
    </row>
    <row r="70" spans="1:12" x14ac:dyDescent="0.25">
      <c r="A70">
        <v>41</v>
      </c>
      <c r="B70">
        <v>8</v>
      </c>
      <c r="C70">
        <v>7</v>
      </c>
      <c r="D70">
        <f>MAX(0,B70-C70)</f>
      </c>
      <c r="E70">
        <v>1</v>
      </c>
      <c r="F70">
        <f>IF(MOD(A70,10)=0,1,0)</f>
      </c>
      <c r="G70">
        <f>ROUND($O$2*LN(A70+$O$3),0)</f>
      </c>
      <c r="H70">
        <f>D70*$O$4</f>
      </c>
      <c r="I70">
        <f>IF(E70=1,$O$5,0)</f>
      </c>
      <c r="J70">
        <f>G70+H70+I70</f>
      </c>
      <c r="K70">
        <f>IF(F70=1,J70*$O$6,J70)</f>
      </c>
      <c r="L70">
        <f>IF(F70=1,G70*$O$6,G70)</f>
      </c>
    </row>
    <row r="71" spans="1:12" x14ac:dyDescent="0.25">
      <c r="A71">
        <v>42</v>
      </c>
      <c r="B71">
        <v>6</v>
      </c>
      <c r="C71">
        <v>5</v>
      </c>
      <c r="D71">
        <f>MAX(0,B71-C71)</f>
      </c>
      <c r="E71">
        <v>1</v>
      </c>
      <c r="F71">
        <f>IF(MOD(A71,10)=0,1,0)</f>
      </c>
      <c r="G71">
        <f>ROUND($O$2*LN(A71+$O$3),0)</f>
      </c>
      <c r="H71">
        <f>D71*$O$4</f>
      </c>
      <c r="I71">
        <f>IF(E71=1,$O$5,0)</f>
      </c>
      <c r="J71">
        <f>G71+H71+I71</f>
      </c>
      <c r="K71">
        <f>IF(F71=1,J71*$O$6,J71)</f>
      </c>
      <c r="L71">
        <f>IF(F71=1,G71*$O$6,G71)</f>
      </c>
    </row>
    <row r="72" spans="1:12" x14ac:dyDescent="0.25">
      <c r="A72">
        <v>43</v>
      </c>
      <c r="B72">
        <v>9</v>
      </c>
      <c r="C72">
        <v>9</v>
      </c>
      <c r="D72">
        <f>MAX(0,B72-C72)</f>
      </c>
      <c r="E72">
        <v>1</v>
      </c>
      <c r="F72">
        <f>IF(MOD(A72,10)=0,1,0)</f>
      </c>
      <c r="G72">
        <f>ROUND($O$2*LN(A72+$O$3),0)</f>
      </c>
      <c r="H72">
        <f>D72*$O$4</f>
      </c>
      <c r="I72">
        <f>IF(E72=1,$O$5,0)</f>
      </c>
      <c r="J72">
        <f>G72+H72+I72</f>
      </c>
      <c r="K72">
        <f>IF(F72=1,J72*$O$6,J72)</f>
      </c>
      <c r="L72">
        <f>IF(F72=1,G72*$O$6,G72)</f>
      </c>
    </row>
    <row r="73" spans="1:12" x14ac:dyDescent="0.25">
      <c r="A73">
        <v>44</v>
      </c>
      <c r="B73">
        <v>9</v>
      </c>
      <c r="C73">
        <v>8</v>
      </c>
      <c r="D73">
        <f>MAX(0,B73-C73)</f>
      </c>
      <c r="E73">
        <v>1</v>
      </c>
      <c r="F73">
        <f>IF(MOD(A73,10)=0,1,0)</f>
      </c>
      <c r="G73">
        <f>ROUND($O$2*LN(A73+$O$3),0)</f>
      </c>
      <c r="H73">
        <f>D73*$O$4</f>
      </c>
      <c r="I73">
        <f>IF(E73=1,$O$5,0)</f>
      </c>
      <c r="J73">
        <f>G73+H73+I73</f>
      </c>
      <c r="K73">
        <f>IF(F73=1,J73*$O$6,J73)</f>
      </c>
      <c r="L73">
        <f>IF(F73=1,G73*$O$6,G73)</f>
      </c>
    </row>
    <row r="74" spans="1:12" x14ac:dyDescent="0.25">
      <c r="A74">
        <v>45</v>
      </c>
      <c r="B74">
        <v>8</v>
      </c>
      <c r="C74">
        <v>7</v>
      </c>
      <c r="D74">
        <f>MAX(0,B74-C74)</f>
      </c>
      <c r="E74">
        <v>1</v>
      </c>
      <c r="F74">
        <f>IF(MOD(A74,10)=0,1,0)</f>
      </c>
      <c r="G74">
        <f>ROUND($O$2*LN(A74+$O$3),0)</f>
      </c>
      <c r="H74">
        <f>D74*$O$4</f>
      </c>
      <c r="I74">
        <f>IF(E74=1,$O$5,0)</f>
      </c>
      <c r="J74">
        <f>G74+H74+I74</f>
      </c>
      <c r="K74">
        <f>IF(F74=1,J74*$O$6,J74)</f>
      </c>
      <c r="L74">
        <f>IF(F74=1,G74*$O$6,G74)</f>
      </c>
    </row>
    <row r="75" spans="1:12" x14ac:dyDescent="0.25">
      <c r="A75">
        <v>46</v>
      </c>
      <c r="B75">
        <v>2</v>
      </c>
      <c r="C75">
        <v>2</v>
      </c>
      <c r="D75">
        <f>MAX(0,B75-C75)</f>
      </c>
      <c r="E75">
        <v>1</v>
      </c>
      <c r="F75">
        <f>IF(MOD(A75,10)=0,1,0)</f>
      </c>
      <c r="G75">
        <f>ROUND($O$2*LN(A75+$O$3),0)</f>
      </c>
      <c r="H75">
        <f>D75*$O$4</f>
      </c>
      <c r="I75">
        <f>IF(E75=1,$O$5,0)</f>
      </c>
      <c r="J75">
        <f>G75+H75+I75</f>
      </c>
      <c r="K75">
        <f>IF(F75=1,J75*$O$6,J75)</f>
      </c>
      <c r="L75">
        <f>IF(F75=1,G75*$O$6,G75)</f>
      </c>
    </row>
    <row r="76" spans="1:12" x14ac:dyDescent="0.25">
      <c r="A76">
        <v>47</v>
      </c>
      <c r="B76">
        <v>8</v>
      </c>
      <c r="C76">
        <v>7</v>
      </c>
      <c r="D76">
        <f>MAX(0,B76-C76)</f>
      </c>
      <c r="E76">
        <v>1</v>
      </c>
      <c r="F76">
        <f>IF(MOD(A76,10)=0,1,0)</f>
      </c>
      <c r="G76">
        <f>ROUND($O$2*LN(A76+$O$3),0)</f>
      </c>
      <c r="H76">
        <f>D76*$O$4</f>
      </c>
      <c r="I76">
        <f>IF(E76=1,$O$5,0)</f>
      </c>
      <c r="J76">
        <f>G76+H76+I76</f>
      </c>
      <c r="K76">
        <f>IF(F76=1,J76*$O$6,J76)</f>
      </c>
      <c r="L76">
        <f>IF(F76=1,G76*$O$6,G76)</f>
      </c>
    </row>
    <row r="77" spans="1:12" x14ac:dyDescent="0.25">
      <c r="A77">
        <v>48</v>
      </c>
      <c r="B77">
        <v>7</v>
      </c>
      <c r="C77">
        <v>7</v>
      </c>
      <c r="D77">
        <f>MAX(0,B77-C77)</f>
      </c>
      <c r="E77">
        <v>1</v>
      </c>
      <c r="F77">
        <f>IF(MOD(A77,10)=0,1,0)</f>
      </c>
      <c r="G77">
        <f>ROUND($O$2*LN(A77+$O$3),0)</f>
      </c>
      <c r="H77">
        <f>D77*$O$4</f>
      </c>
      <c r="I77">
        <f>IF(E77=1,$O$5,0)</f>
      </c>
      <c r="J77">
        <f>G77+H77+I77</f>
      </c>
      <c r="K77">
        <f>IF(F77=1,J77*$O$6,J77)</f>
      </c>
      <c r="L77">
        <f>IF(F77=1,G77*$O$6,G77)</f>
      </c>
    </row>
    <row r="78" spans="1:12" x14ac:dyDescent="0.25">
      <c r="A78">
        <v>49</v>
      </c>
      <c r="B78">
        <v>9</v>
      </c>
      <c r="C78">
        <v>8</v>
      </c>
      <c r="D78">
        <f>MAX(0,B78-C78)</f>
      </c>
      <c r="E78">
        <v>1</v>
      </c>
      <c r="F78">
        <f>IF(MOD(A78,10)=0,1,0)</f>
      </c>
      <c r="G78">
        <f>ROUND($O$2*LN(A78+$O$3),0)</f>
      </c>
      <c r="H78">
        <f>D78*$O$4</f>
      </c>
      <c r="I78">
        <f>IF(E78=1,$O$5,0)</f>
      </c>
      <c r="J78">
        <f>G78+H78+I78</f>
      </c>
      <c r="K78">
        <f>IF(F78=1,J78*$O$6,J78)</f>
      </c>
      <c r="L78">
        <f>IF(F78=1,G78*$O$6,G78)</f>
      </c>
    </row>
    <row r="79" spans="1:12" x14ac:dyDescent="0.25">
      <c r="A79">
        <v>50</v>
      </c>
      <c r="B79">
        <v>8</v>
      </c>
      <c r="C79">
        <v>8</v>
      </c>
      <c r="D79">
        <f>MAX(0,B79-C79)</f>
      </c>
      <c r="E79">
        <v>1</v>
      </c>
      <c r="F79">
        <f>IF(MOD(A79,10)=0,1,0)</f>
      </c>
      <c r="G79">
        <f>ROUND($O$2*LN(A79+$O$3),0)</f>
      </c>
      <c r="H79">
        <f>D79*$O$4</f>
      </c>
      <c r="I79">
        <f>IF(E79=1,$O$5,0)</f>
      </c>
      <c r="J79">
        <f>G79+H79+I79</f>
      </c>
      <c r="K79">
        <f>IF(F79=1,J79*$O$6,J79)</f>
      </c>
      <c r="L79">
        <f>IF(F79=1,G79*$O$6,G79)</f>
      </c>
    </row>
    <row r="80" spans="1:12" x14ac:dyDescent="0.25">
      <c r="A80" s="7" t="s">
        <v>61</v>
      </c>
      <c r="K80" s="14">
        <f>SUM(K30:K79)</f>
      </c>
      <c r="L80" s="14">
        <f>SUM(L30:L79)</f>
      </c>
    </row>
    <row r="81" spans="1:12" x14ac:dyDescent="0.25">
      <c r="A81" t="s">
        <v>57</v>
      </c>
      <c r="L81" s="14">
        <f>SUM(L30:L59)</f>
      </c>
    </row>
  </sheetData>
  <autoFilter ref="A29:L79"/>
  <mergeCells count="2">
    <mergeCell ref="A1:L1"/>
    <mergeCell ref="N45:P45"/>
  </mergeCells>
  <conditionalFormatting sqref="P10:P3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0:L79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43">
    <cfRule type="containsText" dxfId="0" priority="3">
      <formula>NOT(ISERROR(SEARCH("PASS",P43)))</formula>
    </cfRule>
    <cfRule type="containsText" dxfId="1" priority="4">
      <formula>NOT(ISERROR(SEARCH("FAIL",P43)))</formula>
    </cfRule>
  </conditionalFormatting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Source &amp; Sink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Mahjong × Block</dc:creator>
  <dc:title/>
  <dc:subject/>
  <dc:description/>
  <cp:keywords/>
  <cp:category/>
  <cp:lastModifiedBy>Unknown</cp:lastModifiedBy>
  <dcterms:created xsi:type="dcterms:W3CDTF">2026-09-11T15:19:26Z</dcterms:created>
  <dcterms:modified xsi:type="dcterms:W3CDTF">2026-09-11T15:19:26Z</dcterms:modified>
</cp:coreProperties>
</file>